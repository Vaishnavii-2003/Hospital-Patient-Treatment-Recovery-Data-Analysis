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17444F1D-EC1D-4689-AE97-4F2BFFF18AA4}" xr6:coauthVersionLast="47" xr6:coauthVersionMax="47" xr10:uidLastSave="{00000000-0000-0000-0000-000000000000}"/>
  <bookViews>
    <workbookView xWindow="-108" yWindow="-108" windowWidth="23256" windowHeight="12456" activeTab="3" xr2:uid="{780E141C-6E42-4335-9205-9B574442DDA9}"/>
  </bookViews>
  <sheets>
    <sheet name="Table1" sheetId="3" r:id="rId1"/>
    <sheet name="hospital_patient_treatment_data" sheetId="1" r:id="rId2"/>
    <sheet name="pivot tables" sheetId="2" r:id="rId3"/>
    <sheet name="Dashboard" sheetId="4" r:id="rId4"/>
  </sheets>
  <definedNames>
    <definedName name="ExternalData_1" localSheetId="0" hidden="1">Table1!$A$1:$K$201</definedName>
    <definedName name="Slicer_Department">#N/A</definedName>
    <definedName name="Slicer_Doctor_Name">#N/A</definedName>
    <definedName name="Slicer_Gender">#N/A</definedName>
    <definedName name="Slicer_Patient_ID">#N/A</definedName>
    <definedName name="Slicer_Treatment_Type">#N/A</definedName>
  </definedNames>
  <calcPr calcId="0"/>
  <pivotCaches>
    <pivotCache cacheId="4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AA3C3F-D6E2-43B8-B1CA-1893A0E3494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<sst xmlns="http://schemas.openxmlformats.org/spreadsheetml/2006/main" count="2471" uniqueCount="249">
  <si>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</si>
  <si>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</si>
  <si>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</si>
  <si>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</si>
  <si>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</si>
  <si>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</si>
  <si>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</si>
  <si>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</si>
  <si>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</si>
  <si>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</si>
  <si>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</si>
  <si>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</si>
  <si>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</si>
  <si>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</si>
  <si>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</si>
  <si>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</si>
  <si>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</si>
  <si>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</si>
  <si>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</si>
  <si>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</si>
  <si>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</si>
  <si>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</si>
  <si>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</si>
  <si>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</si>
  <si>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</si>
  <si>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</si>
  <si>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</si>
  <si>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</si>
  <si>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</si>
  <si>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</si>
  <si>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</si>
  <si>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</si>
  <si>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</si>
  <si>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</si>
  <si>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</si>
  <si>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</si>
  <si>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</si>
  <si>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</si>
  <si>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</si>
  <si>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</si>
  <si>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</si>
  <si>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</si>
  <si>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</si>
  <si>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</si>
  <si>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</si>
  <si>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</si>
  <si>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</si>
  <si>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</si>
  <si>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</si>
  <si>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</si>
  <si>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</si>
  <si>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</si>
  <si>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</si>
  <si>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</si>
  <si>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</si>
  <si>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</si>
  <si>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</si>
  <si>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</si>
  <si>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</si>
  <si>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</si>
  <si>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</si>
  <si>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</si>
  <si>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</si>
  <si>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</si>
  <si>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</si>
  <si>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</si>
  <si>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</si>
  <si>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</si>
  <si>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</si>
  <si>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</si>
  <si>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</si>
  <si>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</si>
  <si>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</si>
  <si>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</si>
  <si>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</si>
  <si>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</si>
  <si>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</si>
  <si>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</si>
  <si>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</si>
  <si>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</si>
  <si>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</si>
  <si>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</si>
  <si>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</si>
  <si>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</si>
  <si>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</si>
  <si>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</si>
  <si>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</si>
  <si>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</si>
  <si>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</si>
  <si>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</si>
  <si>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</si>
  <si>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</si>
  <si>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</si>
  <si>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</si>
  <si>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</si>
  <si>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</si>
  <si>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</si>
  <si>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</si>
  <si>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</si>
  <si>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</si>
  <si>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</si>
  <si>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</si>
  <si>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</si>
  <si>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</si>
  <si>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</si>
  <si>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</si>
  <si>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</si>
  <si>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</si>
  <si>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</si>
  <si>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</si>
  <si>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</si>
  <si>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</si>
  <si>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</si>
  <si>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</si>
  <si>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</si>
  <si>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</si>
  <si>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</si>
  <si>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</si>
  <si>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</si>
  <si>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</si>
  <si>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</si>
  <si>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</si>
  <si>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</si>
  <si>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</si>
  <si>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</si>
  <si>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</si>
  <si>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</si>
  <si>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</si>
  <si>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</si>
  <si>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</si>
  <si>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</si>
  <si>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</si>
  <si>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</si>
  <si>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</si>
  <si>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</si>
  <si>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</si>
  <si>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</si>
  <si>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</si>
  <si>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</si>
  <si>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</si>
  <si>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</si>
  <si>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</si>
  <si>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</si>
  <si>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</si>
  <si>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</si>
  <si>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</si>
  <si>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</si>
  <si>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</si>
  <si>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</si>
  <si>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</si>
  <si>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</si>
  <si>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</si>
  <si>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</si>
  <si>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</si>
  <si>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</si>
  <si>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</si>
  <si>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</si>
  <si>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</si>
  <si>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</si>
  <si>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</si>
  <si>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</si>
  <si>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</si>
  <si>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</si>
  <si>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</si>
  <si>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</si>
  <si>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</si>
  <si>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</si>
  <si>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</si>
  <si>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</si>
  <si>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</si>
  <si>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</si>
  <si>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</si>
  <si>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</si>
  <si>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</si>
  <si>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</si>
  <si>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</si>
  <si>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</si>
  <si>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</si>
  <si>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</si>
  <si>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</si>
  <si>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</si>
  <si>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</si>
  <si>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</si>
  <si>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</si>
  <si>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</si>
  <si>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</si>
  <si>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</si>
  <si>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</si>
  <si>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</si>
  <si>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</si>
  <si>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</si>
  <si>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</si>
  <si>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</si>
  <si>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</si>
  <si>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</si>
  <si>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</si>
  <si>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</si>
  <si>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</si>
  <si>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</si>
  <si>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</si>
  <si>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</si>
  <si>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</si>
  <si>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</si>
  <si>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</si>
  <si>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</si>
  <si>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</si>
  <si>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</si>
  <si>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</si>
  <si>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</si>
  <si>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</si>
  <si>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</si>
  <si>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</si>
  <si>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</si>
  <si>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</si>
  <si>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</si>
  <si>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</si>
  <si>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</si>
  <si>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</si>
  <si>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</si>
  <si>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</si>
  <si>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</si>
  <si>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</si>
  <si>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</si>
  <si>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</si>
  <si>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</si>
  <si>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</si>
  <si>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</si>
  <si>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Row Labels</t>
  </si>
  <si>
    <t>Grand Total</t>
  </si>
  <si>
    <t>Sum of Recovery Score</t>
  </si>
  <si>
    <t>Average of Treatment Cost</t>
  </si>
  <si>
    <t>Average of Hospital Stay (Days)</t>
  </si>
  <si>
    <t>Average of Recovery Score</t>
  </si>
  <si>
    <t>Average of Age</t>
  </si>
  <si>
    <t>Doctor name</t>
  </si>
  <si>
    <t>Age Group</t>
  </si>
  <si>
    <t>Cost Category</t>
  </si>
  <si>
    <t>Age Notes</t>
  </si>
  <si>
    <t>Low Cost</t>
  </si>
  <si>
    <t>Elderly</t>
  </si>
  <si>
    <t>Child</t>
  </si>
  <si>
    <t>Middle-aged</t>
  </si>
  <si>
    <t>High Cost</t>
  </si>
  <si>
    <t>Young Adult</t>
  </si>
  <si>
    <t>Adult</t>
  </si>
  <si>
    <t>Senior</t>
  </si>
  <si>
    <t>Teenager</t>
  </si>
  <si>
    <t>Min of Recovery Score2</t>
  </si>
  <si>
    <t>Sum of Patient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</si>
</sst>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2"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9" tint="0.39997558519241921"/>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10" xfId="0" applyFont="1" applyFill="1" applyBorder="1"/>
    <xf numFmtId="0" fontId="0" fillId="0" borderId="10" xfId="0" applyFont="1" applyBorder="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Dr. A. Sharma</c:v>
                </c:pt>
                <c:pt idx="1">
                  <c:v>Dr. L. Khan</c:v>
                </c:pt>
                <c:pt idx="2">
                  <c:v>Dr. M. Patel</c:v>
                </c:pt>
                <c:pt idx="3">
                  <c:v>Dr. R. Singh</c:v>
                </c:pt>
                <c:pt idx="4">
                  <c:v>Dr. T. Mehta</c:v>
                </c:pt>
              </c:strCache>
            </c:strRef>
          </c:cat>
          <c:val>
            <c:numRef>
              <c:f>'pivot tables'!$F$4:$F$9</c:f>
              <c:numCache>
                <c:formatCode>General</c:formatCode>
                <c:ptCount val="5"/>
                <c:pt idx="0">
                  <c:v>1128</c:v>
                </c:pt>
                <c:pt idx="1">
                  <c:v>1250</c:v>
                </c:pt>
                <c:pt idx="2">
                  <c:v>1437</c:v>
                </c:pt>
                <c:pt idx="3">
                  <c:v>715</c:v>
                </c:pt>
                <c:pt idx="4">
                  <c:v>1325</c:v>
                </c:pt>
              </c:numCache>
            </c:numRef>
          </c:val>
          <c:extLst>
            <c:ext xmlns:c16="http://schemas.microsoft.com/office/drawing/2014/chart" uri="{C3380CC4-5D6E-409C-BE32-E72D297353CC}">
              <c16:uniqueId val="{00000000-B602-4D65-A29C-B11B526269E2}"/>
            </c:ext>
          </c:extLst>
        </c:ser>
        <c:dLbls>
          <c:showLegendKey val="0"/>
          <c:showVal val="0"/>
          <c:showCatName val="0"/>
          <c:showSerName val="0"/>
          <c:showPercent val="0"/>
          <c:showBubbleSize val="0"/>
        </c:dLbls>
        <c:gapWidth val="219"/>
        <c:overlap val="-27"/>
        <c:axId val="765883152"/>
        <c:axId val="765876432"/>
      </c:barChart>
      <c:catAx>
        <c:axId val="76588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76432"/>
        <c:crosses val="autoZero"/>
        <c:auto val="1"/>
        <c:lblAlgn val="ctr"/>
        <c:lblOffset val="100"/>
        <c:noMultiLvlLbl val="0"/>
      </c:catAx>
      <c:valAx>
        <c:axId val="76587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8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tables'!$B$21:$B$23</c:f>
              <c:strCache>
                <c:ptCount val="2"/>
                <c:pt idx="0">
                  <c:v>High Cost</c:v>
                </c:pt>
                <c:pt idx="1">
                  <c:v>Low Cost</c:v>
                </c:pt>
              </c:strCache>
            </c:strRef>
          </c:cat>
          <c:val>
            <c:numRef>
              <c:f>'pivot tables'!$C$21:$C$23</c:f>
              <c:numCache>
                <c:formatCode>General</c:formatCode>
                <c:ptCount val="2"/>
                <c:pt idx="0">
                  <c:v>2743</c:v>
                </c:pt>
                <c:pt idx="1">
                  <c:v>3112</c:v>
                </c:pt>
              </c:numCache>
            </c:numRef>
          </c:val>
          <c:extLst>
            <c:ext xmlns:c16="http://schemas.microsoft.com/office/drawing/2014/chart" uri="{C3380CC4-5D6E-409C-BE32-E72D297353CC}">
              <c16:uniqueId val="{00000000-3CA3-496E-97BA-FBA15E6F51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dPt>
          <c:cat>
            <c:strRef>
              <c:f>'pivot tables'!$I$4:$I$5</c:f>
              <c:strCache>
                <c:ptCount val="1"/>
                <c:pt idx="0">
                  <c:v>Male</c:v>
                </c:pt>
              </c:strCache>
            </c:strRef>
          </c:cat>
          <c:val>
            <c:numRef>
              <c:f>'pivot tables'!$J$4:$J$5</c:f>
              <c:numCache>
                <c:formatCode>General</c:formatCode>
                <c:ptCount val="1"/>
                <c:pt idx="0">
                  <c:v>5855</c:v>
                </c:pt>
              </c:numCache>
            </c:numRef>
          </c:val>
          <c:extLst>
            <c:ext xmlns:c16="http://schemas.microsoft.com/office/drawing/2014/chart" uri="{C3380CC4-5D6E-409C-BE32-E72D297353CC}">
              <c16:uniqueId val="{00000000-BA9D-43D2-8D3C-D2FF03DBE6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tables'!$G$12</c:f>
              <c:strCache>
                <c:ptCount val="1"/>
                <c:pt idx="0">
                  <c:v>Total</c:v>
                </c:pt>
              </c:strCache>
            </c:strRef>
          </c:tx>
          <c:spPr>
            <a:ln w="28575" cap="rnd">
              <a:solidFill>
                <a:schemeClr val="accent1"/>
              </a:solidFill>
              <a:round/>
            </a:ln>
            <a:effectLst/>
          </c:spPr>
          <c:marker>
            <c:symbol val="none"/>
          </c:marker>
          <c:cat>
            <c:strRef>
              <c:f>'pivot tables'!$F$13:$F$17</c:f>
              <c:strCache>
                <c:ptCount val="4"/>
                <c:pt idx="0">
                  <c:v>Medication</c:v>
                </c:pt>
                <c:pt idx="1">
                  <c:v>Observation</c:v>
                </c:pt>
                <c:pt idx="2">
                  <c:v>Surgery</c:v>
                </c:pt>
                <c:pt idx="3">
                  <c:v>Therapy</c:v>
                </c:pt>
              </c:strCache>
            </c:strRef>
          </c:cat>
          <c:val>
            <c:numRef>
              <c:f>'pivot tables'!$G$13:$G$17</c:f>
              <c:numCache>
                <c:formatCode>General</c:formatCode>
                <c:ptCount val="4"/>
                <c:pt idx="0">
                  <c:v>1438</c:v>
                </c:pt>
                <c:pt idx="1">
                  <c:v>1407</c:v>
                </c:pt>
                <c:pt idx="2">
                  <c:v>1429</c:v>
                </c:pt>
                <c:pt idx="3">
                  <c:v>1581</c:v>
                </c:pt>
              </c:numCache>
            </c:numRef>
          </c:val>
          <c:smooth val="0"/>
          <c:extLst>
            <c:ext xmlns:c16="http://schemas.microsoft.com/office/drawing/2014/chart" uri="{C3380CC4-5D6E-409C-BE32-E72D297353CC}">
              <c16:uniqueId val="{00000000-F0B8-4CE8-80E6-E14830EFB49B}"/>
            </c:ext>
          </c:extLst>
        </c:ser>
        <c:dLbls>
          <c:showLegendKey val="0"/>
          <c:showVal val="0"/>
          <c:showCatName val="0"/>
          <c:showSerName val="0"/>
          <c:showPercent val="0"/>
          <c:showBubbleSize val="0"/>
        </c:dLbls>
        <c:smooth val="0"/>
        <c:axId val="983054048"/>
        <c:axId val="983052128"/>
      </c:lineChart>
      <c:catAx>
        <c:axId val="9830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52128"/>
        <c:crosses val="autoZero"/>
        <c:auto val="1"/>
        <c:lblAlgn val="ctr"/>
        <c:lblOffset val="100"/>
        <c:noMultiLvlLbl val="0"/>
      </c:catAx>
      <c:valAx>
        <c:axId val="98305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tables'!$F$20</c:f>
              <c:strCache>
                <c:ptCount val="1"/>
                <c:pt idx="0">
                  <c:v>Total</c:v>
                </c:pt>
              </c:strCache>
            </c:strRef>
          </c:tx>
          <c:spPr>
            <a:solidFill>
              <a:schemeClr val="accent1"/>
            </a:solidFill>
            <a:ln>
              <a:noFill/>
            </a:ln>
            <a:effectLst/>
          </c:spPr>
          <c:invertIfNegative val="0"/>
          <c:cat>
            <c:strRef>
              <c:f>'pivot tables'!$E$21:$E$28</c:f>
              <c:strCache>
                <c:ptCount val="7"/>
                <c:pt idx="0">
                  <c:v>Adult</c:v>
                </c:pt>
                <c:pt idx="1">
                  <c:v>Child</c:v>
                </c:pt>
                <c:pt idx="2">
                  <c:v>Elderly</c:v>
                </c:pt>
                <c:pt idx="3">
                  <c:v>Middle-aged</c:v>
                </c:pt>
                <c:pt idx="4">
                  <c:v>Senior</c:v>
                </c:pt>
                <c:pt idx="5">
                  <c:v>Teenager</c:v>
                </c:pt>
                <c:pt idx="6">
                  <c:v>Young Adult</c:v>
                </c:pt>
              </c:strCache>
            </c:strRef>
          </c:cat>
          <c:val>
            <c:numRef>
              <c:f>'pivot tables'!$F$21:$F$28</c:f>
              <c:numCache>
                <c:formatCode>General</c:formatCode>
                <c:ptCount val="7"/>
                <c:pt idx="0">
                  <c:v>1033</c:v>
                </c:pt>
                <c:pt idx="1">
                  <c:v>1020</c:v>
                </c:pt>
                <c:pt idx="2">
                  <c:v>1016</c:v>
                </c:pt>
                <c:pt idx="3">
                  <c:v>976</c:v>
                </c:pt>
                <c:pt idx="4">
                  <c:v>915</c:v>
                </c:pt>
                <c:pt idx="5">
                  <c:v>426</c:v>
                </c:pt>
                <c:pt idx="6">
                  <c:v>469</c:v>
                </c:pt>
              </c:numCache>
            </c:numRef>
          </c:val>
          <c:extLst>
            <c:ext xmlns:c16="http://schemas.microsoft.com/office/drawing/2014/chart" uri="{C3380CC4-5D6E-409C-BE32-E72D297353CC}">
              <c16:uniqueId val="{00000000-6958-497E-B552-780652A4BB2C}"/>
            </c:ext>
          </c:extLst>
        </c:ser>
        <c:dLbls>
          <c:showLegendKey val="0"/>
          <c:showVal val="0"/>
          <c:showCatName val="0"/>
          <c:showSerName val="0"/>
          <c:showPercent val="0"/>
          <c:showBubbleSize val="0"/>
        </c:dLbls>
        <c:gapWidth val="150"/>
        <c:overlap val="100"/>
        <c:axId val="765901872"/>
        <c:axId val="765901392"/>
      </c:barChart>
      <c:catAx>
        <c:axId val="7659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1392"/>
        <c:crosses val="autoZero"/>
        <c:auto val="1"/>
        <c:lblAlgn val="ctr"/>
        <c:lblOffset val="100"/>
        <c:noMultiLvlLbl val="0"/>
      </c:catAx>
      <c:valAx>
        <c:axId val="76590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tables!PivotTable9</c:name>
    <c:fmtId val="2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tables'!$J$11</c:f>
              <c:strCache>
                <c:ptCount val="1"/>
                <c:pt idx="0">
                  <c:v>Average of Recovery Score</c:v>
                </c:pt>
              </c:strCache>
            </c:strRef>
          </c:tx>
          <c:spPr>
            <a:solidFill>
              <a:schemeClr val="accent1"/>
            </a:solidFill>
            <a:ln>
              <a:noFill/>
            </a:ln>
            <a:effectLst/>
            <a:sp3d/>
          </c:spPr>
          <c:invertIfNegative val="0"/>
          <c:cat>
            <c:strRef>
              <c:f>'pivot tables'!$I$12:$I$18</c:f>
              <c:strCache>
                <c:ptCount val="6"/>
                <c:pt idx="0">
                  <c:v>Cardiology</c:v>
                </c:pt>
                <c:pt idx="1">
                  <c:v>Gastroenterology</c:v>
                </c:pt>
                <c:pt idx="2">
                  <c:v>Neurology</c:v>
                </c:pt>
                <c:pt idx="3">
                  <c:v>Oncology</c:v>
                </c:pt>
                <c:pt idx="4">
                  <c:v>Orthopedics</c:v>
                </c:pt>
                <c:pt idx="5">
                  <c:v>Pediatrics</c:v>
                </c:pt>
              </c:strCache>
            </c:strRef>
          </c:cat>
          <c:val>
            <c:numRef>
              <c:f>'pivot tables'!$J$12:$J$18</c:f>
              <c:numCache>
                <c:formatCode>General</c:formatCode>
                <c:ptCount val="6"/>
                <c:pt idx="0">
                  <c:v>83.375</c:v>
                </c:pt>
                <c:pt idx="1">
                  <c:v>74.19047619047619</c:v>
                </c:pt>
                <c:pt idx="2">
                  <c:v>70.666666666666671</c:v>
                </c:pt>
                <c:pt idx="3">
                  <c:v>75.5</c:v>
                </c:pt>
                <c:pt idx="4">
                  <c:v>65.214285714285708</c:v>
                </c:pt>
                <c:pt idx="5">
                  <c:v>69.349999999999994</c:v>
                </c:pt>
              </c:numCache>
            </c:numRef>
          </c:val>
          <c:extLst>
            <c:ext xmlns:c16="http://schemas.microsoft.com/office/drawing/2014/chart" uri="{C3380CC4-5D6E-409C-BE32-E72D297353CC}">
              <c16:uniqueId val="{00000000-02BC-4BD7-9DAF-DACB343B429B}"/>
            </c:ext>
          </c:extLst>
        </c:ser>
        <c:ser>
          <c:idx val="1"/>
          <c:order val="1"/>
          <c:tx>
            <c:strRef>
              <c:f>'pivot tables'!$K$11</c:f>
              <c:strCache>
                <c:ptCount val="1"/>
                <c:pt idx="0">
                  <c:v>Min of Recovery Score2</c:v>
                </c:pt>
              </c:strCache>
            </c:strRef>
          </c:tx>
          <c:spPr>
            <a:solidFill>
              <a:schemeClr val="accent2"/>
            </a:solidFill>
            <a:ln>
              <a:noFill/>
            </a:ln>
            <a:effectLst/>
            <a:sp3d/>
          </c:spPr>
          <c:invertIfNegative val="0"/>
          <c:cat>
            <c:strRef>
              <c:f>'pivot tables'!$I$12:$I$18</c:f>
              <c:strCache>
                <c:ptCount val="6"/>
                <c:pt idx="0">
                  <c:v>Cardiology</c:v>
                </c:pt>
                <c:pt idx="1">
                  <c:v>Gastroenterology</c:v>
                </c:pt>
                <c:pt idx="2">
                  <c:v>Neurology</c:v>
                </c:pt>
                <c:pt idx="3">
                  <c:v>Oncology</c:v>
                </c:pt>
                <c:pt idx="4">
                  <c:v>Orthopedics</c:v>
                </c:pt>
                <c:pt idx="5">
                  <c:v>Pediatrics</c:v>
                </c:pt>
              </c:strCache>
            </c:strRef>
          </c:cat>
          <c:val>
            <c:numRef>
              <c:f>'pivot tables'!$K$12:$K$18</c:f>
              <c:numCache>
                <c:formatCode>General</c:formatCode>
                <c:ptCount val="6"/>
                <c:pt idx="0">
                  <c:v>55</c:v>
                </c:pt>
                <c:pt idx="1">
                  <c:v>42</c:v>
                </c:pt>
                <c:pt idx="2">
                  <c:v>47</c:v>
                </c:pt>
                <c:pt idx="3">
                  <c:v>42</c:v>
                </c:pt>
                <c:pt idx="4">
                  <c:v>45</c:v>
                </c:pt>
                <c:pt idx="5">
                  <c:v>42</c:v>
                </c:pt>
              </c:numCache>
            </c:numRef>
          </c:val>
          <c:extLst>
            <c:ext xmlns:c16="http://schemas.microsoft.com/office/drawing/2014/chart" uri="{C3380CC4-5D6E-409C-BE32-E72D297353CC}">
              <c16:uniqueId val="{00000001-02BC-4BD7-9DAF-DACB343B429B}"/>
            </c:ext>
          </c:extLst>
        </c:ser>
        <c:dLbls>
          <c:showLegendKey val="0"/>
          <c:showVal val="0"/>
          <c:showCatName val="0"/>
          <c:showSerName val="0"/>
          <c:showPercent val="0"/>
          <c:showBubbleSize val="0"/>
        </c:dLbls>
        <c:gapWidth val="150"/>
        <c:shape val="box"/>
        <c:axId val="983048288"/>
        <c:axId val="983048768"/>
        <c:axId val="0"/>
      </c:bar3DChart>
      <c:catAx>
        <c:axId val="98304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48768"/>
        <c:crosses val="autoZero"/>
        <c:auto val="1"/>
        <c:lblAlgn val="ctr"/>
        <c:lblOffset val="100"/>
        <c:noMultiLvlLbl val="0"/>
      </c:catAx>
      <c:valAx>
        <c:axId val="98304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Dr. A. Sharma</c:v>
                </c:pt>
                <c:pt idx="1">
                  <c:v>Dr. L. Khan</c:v>
                </c:pt>
                <c:pt idx="2">
                  <c:v>Dr. M. Patel</c:v>
                </c:pt>
                <c:pt idx="3">
                  <c:v>Dr. R. Singh</c:v>
                </c:pt>
                <c:pt idx="4">
                  <c:v>Dr. T. Mehta</c:v>
                </c:pt>
              </c:strCache>
            </c:strRef>
          </c:cat>
          <c:val>
            <c:numRef>
              <c:f>'pivot tables'!$F$4:$F$9</c:f>
              <c:numCache>
                <c:formatCode>General</c:formatCode>
                <c:ptCount val="5"/>
                <c:pt idx="0">
                  <c:v>1128</c:v>
                </c:pt>
                <c:pt idx="1">
                  <c:v>1250</c:v>
                </c:pt>
                <c:pt idx="2">
                  <c:v>1437</c:v>
                </c:pt>
                <c:pt idx="3">
                  <c:v>715</c:v>
                </c:pt>
                <c:pt idx="4">
                  <c:v>1325</c:v>
                </c:pt>
              </c:numCache>
            </c:numRef>
          </c:val>
          <c:extLst>
            <c:ext xmlns:c16="http://schemas.microsoft.com/office/drawing/2014/chart" uri="{C3380CC4-5D6E-409C-BE32-E72D297353CC}">
              <c16:uniqueId val="{00000000-035D-4146-8554-8182A1FE5A30}"/>
            </c:ext>
          </c:extLst>
        </c:ser>
        <c:dLbls>
          <c:showLegendKey val="0"/>
          <c:showVal val="0"/>
          <c:showCatName val="0"/>
          <c:showSerName val="0"/>
          <c:showPercent val="0"/>
          <c:showBubbleSize val="0"/>
        </c:dLbls>
        <c:gapWidth val="219"/>
        <c:overlap val="-27"/>
        <c:axId val="765883152"/>
        <c:axId val="765876432"/>
      </c:barChart>
      <c:catAx>
        <c:axId val="76588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76432"/>
        <c:crosses val="autoZero"/>
        <c:auto val="1"/>
        <c:lblAlgn val="ctr"/>
        <c:lblOffset val="100"/>
        <c:noMultiLvlLbl val="0"/>
      </c:catAx>
      <c:valAx>
        <c:axId val="76587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8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FC-4B83-B0EB-13B32F1103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FC-4B83-B0EB-13B32F11034D}"/>
              </c:ext>
            </c:extLst>
          </c:dPt>
          <c:cat>
            <c:strRef>
              <c:f>'pivot tables'!$B$21:$B$23</c:f>
              <c:strCache>
                <c:ptCount val="2"/>
                <c:pt idx="0">
                  <c:v>High Cost</c:v>
                </c:pt>
                <c:pt idx="1">
                  <c:v>Low Cost</c:v>
                </c:pt>
              </c:strCache>
            </c:strRef>
          </c:cat>
          <c:val>
            <c:numRef>
              <c:f>'pivot tables'!$C$21:$C$23</c:f>
              <c:numCache>
                <c:formatCode>General</c:formatCode>
                <c:ptCount val="2"/>
                <c:pt idx="0">
                  <c:v>2743</c:v>
                </c:pt>
                <c:pt idx="1">
                  <c:v>3112</c:v>
                </c:pt>
              </c:numCache>
            </c:numRef>
          </c:val>
          <c:extLst>
            <c:ext xmlns:c16="http://schemas.microsoft.com/office/drawing/2014/chart" uri="{C3380CC4-5D6E-409C-BE32-E72D297353CC}">
              <c16:uniqueId val="{00000004-AAFC-4B83-B0EB-13B32F11034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52-4EB9-8E65-9809BFAC08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52-4EB9-8E65-9809BFAC08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52-4EB9-8E65-9809BFAC0873}"/>
              </c:ext>
            </c:extLst>
          </c:dPt>
          <c:cat>
            <c:strRef>
              <c:f>'pivot tables'!$I$4:$I$5</c:f>
              <c:strCache>
                <c:ptCount val="1"/>
                <c:pt idx="0">
                  <c:v>Male</c:v>
                </c:pt>
              </c:strCache>
            </c:strRef>
          </c:cat>
          <c:val>
            <c:numRef>
              <c:f>'pivot tables'!$J$4:$J$5</c:f>
              <c:numCache>
                <c:formatCode>General</c:formatCode>
                <c:ptCount val="1"/>
                <c:pt idx="0">
                  <c:v>5855</c:v>
                </c:pt>
              </c:numCache>
            </c:numRef>
          </c:val>
          <c:extLst>
            <c:ext xmlns:c16="http://schemas.microsoft.com/office/drawing/2014/chart" uri="{C3380CC4-5D6E-409C-BE32-E72D297353CC}">
              <c16:uniqueId val="{00000006-8852-4EB9-8E65-9809BFAC08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tables'!$G$12</c:f>
              <c:strCache>
                <c:ptCount val="1"/>
                <c:pt idx="0">
                  <c:v>Total</c:v>
                </c:pt>
              </c:strCache>
            </c:strRef>
          </c:tx>
          <c:spPr>
            <a:ln w="28575" cap="rnd">
              <a:solidFill>
                <a:schemeClr val="accent1"/>
              </a:solidFill>
              <a:round/>
            </a:ln>
            <a:effectLst/>
          </c:spPr>
          <c:marker>
            <c:symbol val="none"/>
          </c:marker>
          <c:cat>
            <c:strRef>
              <c:f>'pivot tables'!$F$13:$F$17</c:f>
              <c:strCache>
                <c:ptCount val="4"/>
                <c:pt idx="0">
                  <c:v>Medication</c:v>
                </c:pt>
                <c:pt idx="1">
                  <c:v>Observation</c:v>
                </c:pt>
                <c:pt idx="2">
                  <c:v>Surgery</c:v>
                </c:pt>
                <c:pt idx="3">
                  <c:v>Therapy</c:v>
                </c:pt>
              </c:strCache>
            </c:strRef>
          </c:cat>
          <c:val>
            <c:numRef>
              <c:f>'pivot tables'!$G$13:$G$17</c:f>
              <c:numCache>
                <c:formatCode>General</c:formatCode>
                <c:ptCount val="4"/>
                <c:pt idx="0">
                  <c:v>1438</c:v>
                </c:pt>
                <c:pt idx="1">
                  <c:v>1407</c:v>
                </c:pt>
                <c:pt idx="2">
                  <c:v>1429</c:v>
                </c:pt>
                <c:pt idx="3">
                  <c:v>1581</c:v>
                </c:pt>
              </c:numCache>
            </c:numRef>
          </c:val>
          <c:smooth val="0"/>
          <c:extLst>
            <c:ext xmlns:c16="http://schemas.microsoft.com/office/drawing/2014/chart" uri="{C3380CC4-5D6E-409C-BE32-E72D297353CC}">
              <c16:uniqueId val="{00000000-82B9-4E21-A874-D61C7C8560D3}"/>
            </c:ext>
          </c:extLst>
        </c:ser>
        <c:dLbls>
          <c:showLegendKey val="0"/>
          <c:showVal val="0"/>
          <c:showCatName val="0"/>
          <c:showSerName val="0"/>
          <c:showPercent val="0"/>
          <c:showBubbleSize val="0"/>
        </c:dLbls>
        <c:smooth val="0"/>
        <c:axId val="983054048"/>
        <c:axId val="983052128"/>
      </c:lineChart>
      <c:catAx>
        <c:axId val="9830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52128"/>
        <c:crosses val="autoZero"/>
        <c:auto val="1"/>
        <c:lblAlgn val="ctr"/>
        <c:lblOffset val="100"/>
        <c:noMultiLvlLbl val="0"/>
      </c:catAx>
      <c:valAx>
        <c:axId val="98305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5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tables'!$F$20</c:f>
              <c:strCache>
                <c:ptCount val="1"/>
                <c:pt idx="0">
                  <c:v>Total</c:v>
                </c:pt>
              </c:strCache>
            </c:strRef>
          </c:tx>
          <c:spPr>
            <a:solidFill>
              <a:schemeClr val="accent1"/>
            </a:solidFill>
            <a:ln>
              <a:noFill/>
            </a:ln>
            <a:effectLst/>
          </c:spPr>
          <c:invertIfNegative val="0"/>
          <c:cat>
            <c:strRef>
              <c:f>'pivot tables'!$E$21:$E$28</c:f>
              <c:strCache>
                <c:ptCount val="7"/>
                <c:pt idx="0">
                  <c:v>Adult</c:v>
                </c:pt>
                <c:pt idx="1">
                  <c:v>Child</c:v>
                </c:pt>
                <c:pt idx="2">
                  <c:v>Elderly</c:v>
                </c:pt>
                <c:pt idx="3">
                  <c:v>Middle-aged</c:v>
                </c:pt>
                <c:pt idx="4">
                  <c:v>Senior</c:v>
                </c:pt>
                <c:pt idx="5">
                  <c:v>Teenager</c:v>
                </c:pt>
                <c:pt idx="6">
                  <c:v>Young Adult</c:v>
                </c:pt>
              </c:strCache>
            </c:strRef>
          </c:cat>
          <c:val>
            <c:numRef>
              <c:f>'pivot tables'!$F$21:$F$28</c:f>
              <c:numCache>
                <c:formatCode>General</c:formatCode>
                <c:ptCount val="7"/>
                <c:pt idx="0">
                  <c:v>1033</c:v>
                </c:pt>
                <c:pt idx="1">
                  <c:v>1020</c:v>
                </c:pt>
                <c:pt idx="2">
                  <c:v>1016</c:v>
                </c:pt>
                <c:pt idx="3">
                  <c:v>976</c:v>
                </c:pt>
                <c:pt idx="4">
                  <c:v>915</c:v>
                </c:pt>
                <c:pt idx="5">
                  <c:v>426</c:v>
                </c:pt>
                <c:pt idx="6">
                  <c:v>469</c:v>
                </c:pt>
              </c:numCache>
            </c:numRef>
          </c:val>
          <c:extLst>
            <c:ext xmlns:c16="http://schemas.microsoft.com/office/drawing/2014/chart" uri="{C3380CC4-5D6E-409C-BE32-E72D297353CC}">
              <c16:uniqueId val="{00000000-4CDA-4B9B-9E0B-3B92E6DC1D1E}"/>
            </c:ext>
          </c:extLst>
        </c:ser>
        <c:dLbls>
          <c:showLegendKey val="0"/>
          <c:showVal val="0"/>
          <c:showCatName val="0"/>
          <c:showSerName val="0"/>
          <c:showPercent val="0"/>
          <c:showBubbleSize val="0"/>
        </c:dLbls>
        <c:gapWidth val="150"/>
        <c:overlap val="100"/>
        <c:axId val="765901872"/>
        <c:axId val="765901392"/>
      </c:barChart>
      <c:catAx>
        <c:axId val="76590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1392"/>
        <c:crosses val="autoZero"/>
        <c:auto val="1"/>
        <c:lblAlgn val="ctr"/>
        <c:lblOffset val="100"/>
        <c:noMultiLvlLbl val="0"/>
      </c:catAx>
      <c:valAx>
        <c:axId val="76590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90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 tables!PivotTable9</c:name>
    <c:fmtId val="2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tables'!$J$11</c:f>
              <c:strCache>
                <c:ptCount val="1"/>
                <c:pt idx="0">
                  <c:v>Average of Recovery Score</c:v>
                </c:pt>
              </c:strCache>
            </c:strRef>
          </c:tx>
          <c:spPr>
            <a:solidFill>
              <a:schemeClr val="accent1"/>
            </a:solidFill>
            <a:ln>
              <a:noFill/>
            </a:ln>
            <a:effectLst/>
            <a:sp3d/>
          </c:spPr>
          <c:invertIfNegative val="0"/>
          <c:cat>
            <c:strRef>
              <c:f>'pivot tables'!$I$12:$I$18</c:f>
              <c:strCache>
                <c:ptCount val="6"/>
                <c:pt idx="0">
                  <c:v>Cardiology</c:v>
                </c:pt>
                <c:pt idx="1">
                  <c:v>Gastroenterology</c:v>
                </c:pt>
                <c:pt idx="2">
                  <c:v>Neurology</c:v>
                </c:pt>
                <c:pt idx="3">
                  <c:v>Oncology</c:v>
                </c:pt>
                <c:pt idx="4">
                  <c:v>Orthopedics</c:v>
                </c:pt>
                <c:pt idx="5">
                  <c:v>Pediatrics</c:v>
                </c:pt>
              </c:strCache>
            </c:strRef>
          </c:cat>
          <c:val>
            <c:numRef>
              <c:f>'pivot tables'!$J$12:$J$18</c:f>
              <c:numCache>
                <c:formatCode>General</c:formatCode>
                <c:ptCount val="6"/>
                <c:pt idx="0">
                  <c:v>83.375</c:v>
                </c:pt>
                <c:pt idx="1">
                  <c:v>74.19047619047619</c:v>
                </c:pt>
                <c:pt idx="2">
                  <c:v>70.666666666666671</c:v>
                </c:pt>
                <c:pt idx="3">
                  <c:v>75.5</c:v>
                </c:pt>
                <c:pt idx="4">
                  <c:v>65.214285714285708</c:v>
                </c:pt>
                <c:pt idx="5">
                  <c:v>69.349999999999994</c:v>
                </c:pt>
              </c:numCache>
            </c:numRef>
          </c:val>
          <c:extLst>
            <c:ext xmlns:c16="http://schemas.microsoft.com/office/drawing/2014/chart" uri="{C3380CC4-5D6E-409C-BE32-E72D297353CC}">
              <c16:uniqueId val="{00000000-1E9F-4637-ABE2-093E13556DB9}"/>
            </c:ext>
          </c:extLst>
        </c:ser>
        <c:ser>
          <c:idx val="1"/>
          <c:order val="1"/>
          <c:tx>
            <c:strRef>
              <c:f>'pivot tables'!$K$11</c:f>
              <c:strCache>
                <c:ptCount val="1"/>
                <c:pt idx="0">
                  <c:v>Min of Recovery Score2</c:v>
                </c:pt>
              </c:strCache>
            </c:strRef>
          </c:tx>
          <c:spPr>
            <a:solidFill>
              <a:schemeClr val="accent2"/>
            </a:solidFill>
            <a:ln>
              <a:noFill/>
            </a:ln>
            <a:effectLst/>
            <a:sp3d/>
          </c:spPr>
          <c:invertIfNegative val="0"/>
          <c:cat>
            <c:strRef>
              <c:f>'pivot tables'!$I$12:$I$18</c:f>
              <c:strCache>
                <c:ptCount val="6"/>
                <c:pt idx="0">
                  <c:v>Cardiology</c:v>
                </c:pt>
                <c:pt idx="1">
                  <c:v>Gastroenterology</c:v>
                </c:pt>
                <c:pt idx="2">
                  <c:v>Neurology</c:v>
                </c:pt>
                <c:pt idx="3">
                  <c:v>Oncology</c:v>
                </c:pt>
                <c:pt idx="4">
                  <c:v>Orthopedics</c:v>
                </c:pt>
                <c:pt idx="5">
                  <c:v>Pediatrics</c:v>
                </c:pt>
              </c:strCache>
            </c:strRef>
          </c:cat>
          <c:val>
            <c:numRef>
              <c:f>'pivot tables'!$K$12:$K$18</c:f>
              <c:numCache>
                <c:formatCode>General</c:formatCode>
                <c:ptCount val="6"/>
                <c:pt idx="0">
                  <c:v>55</c:v>
                </c:pt>
                <c:pt idx="1">
                  <c:v>42</c:v>
                </c:pt>
                <c:pt idx="2">
                  <c:v>47</c:v>
                </c:pt>
                <c:pt idx="3">
                  <c:v>42</c:v>
                </c:pt>
                <c:pt idx="4">
                  <c:v>45</c:v>
                </c:pt>
                <c:pt idx="5">
                  <c:v>42</c:v>
                </c:pt>
              </c:numCache>
            </c:numRef>
          </c:val>
          <c:extLst>
            <c:ext xmlns:c16="http://schemas.microsoft.com/office/drawing/2014/chart" uri="{C3380CC4-5D6E-409C-BE32-E72D297353CC}">
              <c16:uniqueId val="{00000001-1E9F-4637-ABE2-093E13556DB9}"/>
            </c:ext>
          </c:extLst>
        </c:ser>
        <c:dLbls>
          <c:showLegendKey val="0"/>
          <c:showVal val="0"/>
          <c:showCatName val="0"/>
          <c:showSerName val="0"/>
          <c:showPercent val="0"/>
          <c:showBubbleSize val="0"/>
        </c:dLbls>
        <c:gapWidth val="150"/>
        <c:shape val="box"/>
        <c:axId val="983048288"/>
        <c:axId val="983048768"/>
        <c:axId val="0"/>
      </c:bar3DChart>
      <c:catAx>
        <c:axId val="98304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48768"/>
        <c:crosses val="autoZero"/>
        <c:auto val="1"/>
        <c:lblAlgn val="ctr"/>
        <c:lblOffset val="100"/>
        <c:noMultiLvlLbl val="0"/>
      </c:catAx>
      <c:valAx>
        <c:axId val="98304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0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7.xml"/><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5.svg"/><Relationship Id="rId5" Type="http://schemas.openxmlformats.org/officeDocument/2006/relationships/chart" Target="../charts/chart10.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1819604</xdr:colOff>
      <xdr:row>31</xdr:row>
      <xdr:rowOff>14452</xdr:rowOff>
    </xdr:from>
    <xdr:to>
      <xdr:col>3</xdr:col>
      <xdr:colOff>1228397</xdr:colOff>
      <xdr:row>45</xdr:row>
      <xdr:rowOff>182617</xdr:rowOff>
    </xdr:to>
    <xdr:graphicFrame macro="">
      <xdr:nvGraphicFramePr>
        <xdr:cNvPr id="2" name="Chart 1">
          <a:extLst>
            <a:ext uri="{FF2B5EF4-FFF2-40B4-BE49-F238E27FC236}">
              <a16:creationId xmlns:a16="http://schemas.microsoft.com/office/drawing/2014/main" id="{C145A090-C940-7B01-DF4E-9CEC822B1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45983</xdr:colOff>
      <xdr:row>32</xdr:row>
      <xdr:rowOff>119555</xdr:rowOff>
    </xdr:from>
    <xdr:to>
      <xdr:col>6</xdr:col>
      <xdr:colOff>1675087</xdr:colOff>
      <xdr:row>47</xdr:row>
      <xdr:rowOff>103789</xdr:rowOff>
    </xdr:to>
    <xdr:graphicFrame macro="">
      <xdr:nvGraphicFramePr>
        <xdr:cNvPr id="3" name="Chart 2">
          <a:extLst>
            <a:ext uri="{FF2B5EF4-FFF2-40B4-BE49-F238E27FC236}">
              <a16:creationId xmlns:a16="http://schemas.microsoft.com/office/drawing/2014/main" id="{B30A41D4-D418-9653-BD86-71F302032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440122</xdr:colOff>
      <xdr:row>29</xdr:row>
      <xdr:rowOff>158969</xdr:rowOff>
    </xdr:from>
    <xdr:to>
      <xdr:col>11</xdr:col>
      <xdr:colOff>32846</xdr:colOff>
      <xdr:row>44</xdr:row>
      <xdr:rowOff>143203</xdr:rowOff>
    </xdr:to>
    <xdr:graphicFrame macro="">
      <xdr:nvGraphicFramePr>
        <xdr:cNvPr id="4" name="Chart 3">
          <a:extLst>
            <a:ext uri="{FF2B5EF4-FFF2-40B4-BE49-F238E27FC236}">
              <a16:creationId xmlns:a16="http://schemas.microsoft.com/office/drawing/2014/main" id="{B568EFAB-AD6D-EC3B-692D-2C26FA335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566352</xdr:colOff>
      <xdr:row>27</xdr:row>
      <xdr:rowOff>8238</xdr:rowOff>
    </xdr:from>
    <xdr:to>
      <xdr:col>21</xdr:col>
      <xdr:colOff>195649</xdr:colOff>
      <xdr:row>41</xdr:row>
      <xdr:rowOff>156519</xdr:rowOff>
    </xdr:to>
    <xdr:graphicFrame macro="">
      <xdr:nvGraphicFramePr>
        <xdr:cNvPr id="5" name="Chart 4">
          <a:extLst>
            <a:ext uri="{FF2B5EF4-FFF2-40B4-BE49-F238E27FC236}">
              <a16:creationId xmlns:a16="http://schemas.microsoft.com/office/drawing/2014/main" id="{5819C7BF-FB1B-6E3A-FB81-C5FB6267E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15171</xdr:colOff>
      <xdr:row>47</xdr:row>
      <xdr:rowOff>169719</xdr:rowOff>
    </xdr:from>
    <xdr:to>
      <xdr:col>11</xdr:col>
      <xdr:colOff>175734</xdr:colOff>
      <xdr:row>62</xdr:row>
      <xdr:rowOff>142010</xdr:rowOff>
    </xdr:to>
    <xdr:graphicFrame macro="">
      <xdr:nvGraphicFramePr>
        <xdr:cNvPr id="6" name="Chart 5">
          <a:extLst>
            <a:ext uri="{FF2B5EF4-FFF2-40B4-BE49-F238E27FC236}">
              <a16:creationId xmlns:a16="http://schemas.microsoft.com/office/drawing/2014/main" id="{7927A79D-8B29-4186-9616-7D614B662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531395</xdr:colOff>
      <xdr:row>7</xdr:row>
      <xdr:rowOff>12031</xdr:rowOff>
    </xdr:from>
    <xdr:to>
      <xdr:col>21</xdr:col>
      <xdr:colOff>290763</xdr:colOff>
      <xdr:row>22</xdr:row>
      <xdr:rowOff>48126</xdr:rowOff>
    </xdr:to>
    <xdr:graphicFrame macro="">
      <xdr:nvGraphicFramePr>
        <xdr:cNvPr id="8" name="Chart 7">
          <a:extLst>
            <a:ext uri="{FF2B5EF4-FFF2-40B4-BE49-F238E27FC236}">
              <a16:creationId xmlns:a16="http://schemas.microsoft.com/office/drawing/2014/main" id="{B137F6B2-BF68-297E-1B47-1FA3B5D5B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458289</xdr:colOff>
      <xdr:row>15</xdr:row>
      <xdr:rowOff>104036</xdr:rowOff>
    </xdr:from>
    <xdr:to>
      <xdr:col>7</xdr:col>
      <xdr:colOff>135738</xdr:colOff>
      <xdr:row>28</xdr:row>
      <xdr:rowOff>145052</xdr:rowOff>
    </xdr:to>
    <mc:AlternateContent xmlns:mc="http://schemas.openxmlformats.org/markup-compatibility/2006">
      <mc:Choice xmlns:a14="http://schemas.microsoft.com/office/drawing/2010/main" Requires="a14">
        <xdr:graphicFrame macro="">
          <xdr:nvGraphicFramePr>
            <xdr:cNvPr id="12" name="Patient ID">
              <a:extLst>
                <a:ext uri="{FF2B5EF4-FFF2-40B4-BE49-F238E27FC236}">
                  <a16:creationId xmlns:a16="http://schemas.microsoft.com/office/drawing/2014/main" id="{7503D18A-19F7-C1BC-47EE-A27CE0C905AC}"/>
                </a:ext>
              </a:extLst>
            </xdr:cNvPr>
            <xdr:cNvGraphicFramePr/>
          </xdr:nvGraphicFramePr>
          <xdr:xfrm>
            <a:off x="0" y="0"/>
            <a:ext cx="0" cy="0"/>
          </xdr:xfrm>
          <a:graphic>
            <a:graphicData uri="http://schemas.microsoft.com/office/drawing/2010/slicer">
              <sle:slicer xmlns:sle="http://schemas.microsoft.com/office/drawing/2010/slicer" name="Patient ID"/>
            </a:graphicData>
          </a:graphic>
        </xdr:graphicFrame>
      </mc:Choice>
      <mc:Fallback>
        <xdr:sp macro="" textlink="">
          <xdr:nvSpPr>
            <xdr:cNvPr id="0" name=""/>
            <xdr:cNvSpPr>
              <a:spLocks noTextEdit="1"/>
            </xdr:cNvSpPr>
          </xdr:nvSpPr>
          <xdr:spPr>
            <a:xfrm>
              <a:off x="10364289" y="2891841"/>
              <a:ext cx="1833351" cy="2457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938349</xdr:colOff>
      <xdr:row>18</xdr:row>
      <xdr:rowOff>24260</xdr:rowOff>
    </xdr:from>
    <xdr:to>
      <xdr:col>8</xdr:col>
      <xdr:colOff>9308</xdr:colOff>
      <xdr:row>31</xdr:row>
      <xdr:rowOff>65275</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2541D507-31D3-C59D-5BCF-829C00EE292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844349" y="3369626"/>
              <a:ext cx="1840179" cy="2457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1418409</xdr:colOff>
      <xdr:row>20</xdr:row>
      <xdr:rowOff>131095</xdr:rowOff>
    </xdr:from>
    <xdr:to>
      <xdr:col>8</xdr:col>
      <xdr:colOff>489368</xdr:colOff>
      <xdr:row>33</xdr:row>
      <xdr:rowOff>172111</xdr:rowOff>
    </xdr:to>
    <mc:AlternateContent xmlns:mc="http://schemas.openxmlformats.org/markup-compatibility/2006">
      <mc:Choice xmlns:a14="http://schemas.microsoft.com/office/drawing/2010/main" Requires="a14">
        <xdr:graphicFrame macro="">
          <xdr:nvGraphicFramePr>
            <xdr:cNvPr id="14" name="Treatment Type">
              <a:extLst>
                <a:ext uri="{FF2B5EF4-FFF2-40B4-BE49-F238E27FC236}">
                  <a16:creationId xmlns:a16="http://schemas.microsoft.com/office/drawing/2014/main" id="{D8A59FE8-E1CC-CD11-1CB9-350772A453C8}"/>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dr:sp macro="" textlink="">
          <xdr:nvSpPr>
            <xdr:cNvPr id="0" name=""/>
            <xdr:cNvSpPr>
              <a:spLocks noTextEdit="1"/>
            </xdr:cNvSpPr>
          </xdr:nvSpPr>
          <xdr:spPr>
            <a:xfrm>
              <a:off x="11324409" y="3848168"/>
              <a:ext cx="1840179" cy="2457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1898469</xdr:colOff>
      <xdr:row>23</xdr:row>
      <xdr:rowOff>51318</xdr:rowOff>
    </xdr:from>
    <xdr:to>
      <xdr:col>8</xdr:col>
      <xdr:colOff>971324</xdr:colOff>
      <xdr:row>36</xdr:row>
      <xdr:rowOff>92334</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7105CFA9-3D00-47BD-5A19-D8A915CDB39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804469" y="4325952"/>
              <a:ext cx="1842075" cy="2457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1353250</xdr:colOff>
      <xdr:row>19</xdr:row>
      <xdr:rowOff>81487</xdr:rowOff>
    </xdr:from>
    <xdr:to>
      <xdr:col>8</xdr:col>
      <xdr:colOff>424209</xdr:colOff>
      <xdr:row>32</xdr:row>
      <xdr:rowOff>122503</xdr:rowOff>
    </xdr:to>
    <mc:AlternateContent xmlns:mc="http://schemas.openxmlformats.org/markup-compatibility/2006">
      <mc:Choice xmlns:a14="http://schemas.microsoft.com/office/drawing/2010/main" Requires="a14">
        <xdr:graphicFrame macro="">
          <xdr:nvGraphicFramePr>
            <xdr:cNvPr id="16" name="Doctor Name">
              <a:extLst>
                <a:ext uri="{FF2B5EF4-FFF2-40B4-BE49-F238E27FC236}">
                  <a16:creationId xmlns:a16="http://schemas.microsoft.com/office/drawing/2014/main" id="{7F865108-E2BE-9C72-46D9-41688B550267}"/>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dr:sp macro="" textlink="">
          <xdr:nvSpPr>
            <xdr:cNvPr id="0" name=""/>
            <xdr:cNvSpPr>
              <a:spLocks noTextEdit="1"/>
            </xdr:cNvSpPr>
          </xdr:nvSpPr>
          <xdr:spPr>
            <a:xfrm>
              <a:off x="11259250" y="3612707"/>
              <a:ext cx="1840179" cy="2457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498231</xdr:colOff>
      <xdr:row>2</xdr:row>
      <xdr:rowOff>117229</xdr:rowOff>
    </xdr:from>
    <xdr:to>
      <xdr:col>22</xdr:col>
      <xdr:colOff>298174</xdr:colOff>
      <xdr:row>7</xdr:row>
      <xdr:rowOff>48845</xdr:rowOff>
    </xdr:to>
    <xdr:sp macro="" textlink="">
      <xdr:nvSpPr>
        <xdr:cNvPr id="2" name="Rectangle: Rounded Corners 1">
          <a:extLst>
            <a:ext uri="{FF2B5EF4-FFF2-40B4-BE49-F238E27FC236}">
              <a16:creationId xmlns:a16="http://schemas.microsoft.com/office/drawing/2014/main" id="{A74E9B3C-2EAD-F72A-7665-0379B10F1BC9}"/>
            </a:ext>
          </a:extLst>
        </xdr:cNvPr>
        <xdr:cNvSpPr/>
      </xdr:nvSpPr>
      <xdr:spPr>
        <a:xfrm>
          <a:off x="1105622" y="492707"/>
          <a:ext cx="12555161" cy="870312"/>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r"/>
          <a:r>
            <a:rPr lang="en-IN" sz="4000">
              <a:solidFill>
                <a:schemeClr val="tx1"/>
              </a:solidFill>
              <a:latin typeface="Times New Roman" panose="02020603050405020304" pitchFamily="18" charset="0"/>
              <a:cs typeface="Times New Roman" panose="02020603050405020304" pitchFamily="18" charset="0"/>
            </a:rPr>
            <a:t>Hospital Patient Treatment Data - Recovery Analysis</a:t>
          </a:r>
        </a:p>
      </xdr:txBody>
    </xdr:sp>
    <xdr:clientData/>
  </xdr:twoCellAnchor>
  <xdr:twoCellAnchor editAs="oneCell">
    <xdr:from>
      <xdr:col>1</xdr:col>
      <xdr:colOff>410310</xdr:colOff>
      <xdr:row>2</xdr:row>
      <xdr:rowOff>68387</xdr:rowOff>
    </xdr:from>
    <xdr:to>
      <xdr:col>4</xdr:col>
      <xdr:colOff>88817</xdr:colOff>
      <xdr:row>6</xdr:row>
      <xdr:rowOff>156310</xdr:rowOff>
    </xdr:to>
    <xdr:pic>
      <xdr:nvPicPr>
        <xdr:cNvPr id="4" name="Picture 3">
          <a:extLst>
            <a:ext uri="{FF2B5EF4-FFF2-40B4-BE49-F238E27FC236}">
              <a16:creationId xmlns:a16="http://schemas.microsoft.com/office/drawing/2014/main" id="{B78983FE-FA63-62DB-6B20-2C572D1E8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002" y="439618"/>
          <a:ext cx="1495584" cy="830384"/>
        </a:xfrm>
        <a:prstGeom prst="rect">
          <a:avLst/>
        </a:prstGeom>
      </xdr:spPr>
    </xdr:pic>
    <xdr:clientData/>
  </xdr:twoCellAnchor>
  <xdr:twoCellAnchor>
    <xdr:from>
      <xdr:col>1</xdr:col>
      <xdr:colOff>549524</xdr:colOff>
      <xdr:row>8</xdr:row>
      <xdr:rowOff>2209</xdr:rowOff>
    </xdr:from>
    <xdr:to>
      <xdr:col>5</xdr:col>
      <xdr:colOff>417001</xdr:colOff>
      <xdr:row>13</xdr:row>
      <xdr:rowOff>118828</xdr:rowOff>
    </xdr:to>
    <xdr:sp macro="" textlink="'pivot tables'!A2">
      <xdr:nvSpPr>
        <xdr:cNvPr id="5" name="Rectangle: Rounded Corners 4">
          <a:extLst>
            <a:ext uri="{FF2B5EF4-FFF2-40B4-BE49-F238E27FC236}">
              <a16:creationId xmlns:a16="http://schemas.microsoft.com/office/drawing/2014/main" id="{AB7862CA-12D9-EE2E-3168-A332FB12BDA5}"/>
            </a:ext>
          </a:extLst>
        </xdr:cNvPr>
        <xdr:cNvSpPr/>
      </xdr:nvSpPr>
      <xdr:spPr>
        <a:xfrm>
          <a:off x="1159124" y="1465249"/>
          <a:ext cx="2305877" cy="1031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286914-4BE2-4163-9F33-557086BCDF98}"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 </a:t>
          </a:fld>
          <a:r>
            <a:rPr lang="en-US" sz="2000" b="1" i="0" u="none" strike="noStrike">
              <a:solidFill>
                <a:srgbClr val="000000"/>
              </a:solidFill>
              <a:latin typeface="Times New Roman" panose="02020603050405020304" pitchFamily="18" charset="0"/>
              <a:ea typeface="Calibri"/>
              <a:cs typeface="Times New Roman" panose="02020603050405020304" pitchFamily="18" charset="0"/>
            </a:rPr>
            <a:t>Patient's</a:t>
          </a:r>
          <a:r>
            <a:rPr lang="en-US" sz="2000" b="1" i="0" u="none" strike="noStrike" baseline="0">
              <a:solidFill>
                <a:srgbClr val="000000"/>
              </a:solidFill>
              <a:latin typeface="Times New Roman" panose="02020603050405020304" pitchFamily="18" charset="0"/>
              <a:ea typeface="Calibri"/>
              <a:cs typeface="Times New Roman" panose="02020603050405020304" pitchFamily="18" charset="0"/>
            </a:rPr>
            <a:t> Count</a:t>
          </a:r>
        </a:p>
        <a:p>
          <a:pPr algn="ctr"/>
          <a:r>
            <a:rPr lang="en-US" sz="2000" b="1" i="0" u="none" strike="noStrike" baseline="0">
              <a:solidFill>
                <a:srgbClr val="000000"/>
              </a:solidFill>
              <a:latin typeface="Times New Roman" panose="02020603050405020304" pitchFamily="18" charset="0"/>
              <a:ea typeface="Calibri"/>
              <a:cs typeface="Times New Roman" panose="02020603050405020304" pitchFamily="18" charset="0"/>
            </a:rPr>
            <a:t>200</a:t>
          </a:r>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5</xdr:col>
      <xdr:colOff>454127</xdr:colOff>
      <xdr:row>7</xdr:row>
      <xdr:rowOff>154510</xdr:rowOff>
    </xdr:from>
    <xdr:to>
      <xdr:col>9</xdr:col>
      <xdr:colOff>136075</xdr:colOff>
      <xdr:row>13</xdr:row>
      <xdr:rowOff>96694</xdr:rowOff>
    </xdr:to>
    <xdr:sp macro="" textlink="">
      <xdr:nvSpPr>
        <xdr:cNvPr id="6" name="Rectangle: Rounded Corners 5">
          <a:extLst>
            <a:ext uri="{FF2B5EF4-FFF2-40B4-BE49-F238E27FC236}">
              <a16:creationId xmlns:a16="http://schemas.microsoft.com/office/drawing/2014/main" id="{CBAFE193-26FC-4C9C-8AD9-2121A0AF73E2}"/>
            </a:ext>
          </a:extLst>
        </xdr:cNvPr>
        <xdr:cNvSpPr/>
      </xdr:nvSpPr>
      <xdr:spPr>
        <a:xfrm>
          <a:off x="3520712" y="1455486"/>
          <a:ext cx="2135217" cy="10573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Times New Roman" panose="02020603050405020304" pitchFamily="18" charset="0"/>
              <a:cs typeface="Times New Roman" panose="02020603050405020304" pitchFamily="18" charset="0"/>
            </a:rPr>
            <a:t>Avg Treatment Cost</a:t>
          </a:r>
        </a:p>
        <a:p>
          <a:pPr algn="ctr"/>
          <a:r>
            <a:rPr lang="en-US" sz="1800" b="1">
              <a:solidFill>
                <a:schemeClr val="tx1"/>
              </a:solidFill>
              <a:latin typeface="Times New Roman" panose="02020603050405020304" pitchFamily="18" charset="0"/>
              <a:cs typeface="Times New Roman" panose="02020603050405020304" pitchFamily="18" charset="0"/>
            </a:rPr>
            <a:t>79698.51</a:t>
          </a:r>
        </a:p>
      </xdr:txBody>
    </xdr:sp>
    <xdr:clientData/>
  </xdr:twoCellAnchor>
  <xdr:twoCellAnchor>
    <xdr:from>
      <xdr:col>17</xdr:col>
      <xdr:colOff>563218</xdr:colOff>
      <xdr:row>7</xdr:row>
      <xdr:rowOff>172279</xdr:rowOff>
    </xdr:from>
    <xdr:to>
      <xdr:col>22</xdr:col>
      <xdr:colOff>326888</xdr:colOff>
      <xdr:row>13</xdr:row>
      <xdr:rowOff>106018</xdr:rowOff>
    </xdr:to>
    <xdr:sp macro="" textlink="'pivot tables'!A14">
      <xdr:nvSpPr>
        <xdr:cNvPr id="7" name="Rectangle: Rounded Corners 6">
          <a:extLst>
            <a:ext uri="{FF2B5EF4-FFF2-40B4-BE49-F238E27FC236}">
              <a16:creationId xmlns:a16="http://schemas.microsoft.com/office/drawing/2014/main" id="{EED86E7E-9DFF-40C2-B907-4CAE3C3595BA}"/>
            </a:ext>
          </a:extLst>
        </xdr:cNvPr>
        <xdr:cNvSpPr/>
      </xdr:nvSpPr>
      <xdr:spPr>
        <a:xfrm>
          <a:off x="10888870" y="1486453"/>
          <a:ext cx="2800627" cy="10601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panose="02020603050405020304" pitchFamily="18" charset="0"/>
              <a:ea typeface="Calibri"/>
              <a:cs typeface="Times New Roman" panose="02020603050405020304" pitchFamily="18" charset="0"/>
            </a:rPr>
            <a:t>Average Age </a:t>
          </a:r>
        </a:p>
        <a:p>
          <a:pPr algn="ctr"/>
          <a:fld id="{4733E8F1-F9B5-4F81-B10D-15DAE61F4744}"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40.9382716</a:t>
          </a:fld>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13</xdr:col>
      <xdr:colOff>422302</xdr:colOff>
      <xdr:row>7</xdr:row>
      <xdr:rowOff>147983</xdr:rowOff>
    </xdr:from>
    <xdr:to>
      <xdr:col>17</xdr:col>
      <xdr:colOff>495190</xdr:colOff>
      <xdr:row>13</xdr:row>
      <xdr:rowOff>81722</xdr:rowOff>
    </xdr:to>
    <xdr:sp macro="" textlink="'pivot tables'!A11">
      <xdr:nvSpPr>
        <xdr:cNvPr id="8" name="Rectangle: Rounded Corners 7">
          <a:extLst>
            <a:ext uri="{FF2B5EF4-FFF2-40B4-BE49-F238E27FC236}">
              <a16:creationId xmlns:a16="http://schemas.microsoft.com/office/drawing/2014/main" id="{DF37CD05-0FD4-48A5-A9CA-016BFC1303F2}"/>
            </a:ext>
          </a:extLst>
        </xdr:cNvPr>
        <xdr:cNvSpPr/>
      </xdr:nvSpPr>
      <xdr:spPr>
        <a:xfrm>
          <a:off x="8347102" y="1428143"/>
          <a:ext cx="2511288" cy="1031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Times New Roman" panose="02020603050405020304" pitchFamily="18" charset="0"/>
              <a:ea typeface="Calibri"/>
              <a:cs typeface="Times New Roman" panose="02020603050405020304" pitchFamily="18" charset="0"/>
            </a:rPr>
            <a:t>Avg Recovery Score</a:t>
          </a:r>
          <a:fld id="{8AE5ADB7-6A2E-4975-B18B-76C284AF6EF3}"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72.28395062</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9</xdr:col>
      <xdr:colOff>178903</xdr:colOff>
      <xdr:row>7</xdr:row>
      <xdr:rowOff>156818</xdr:rowOff>
    </xdr:from>
    <xdr:to>
      <xdr:col>13</xdr:col>
      <xdr:colOff>342347</xdr:colOff>
      <xdr:row>13</xdr:row>
      <xdr:rowOff>90557</xdr:rowOff>
    </xdr:to>
    <xdr:sp macro="" textlink="'pivot tables'!A8">
      <xdr:nvSpPr>
        <xdr:cNvPr id="9" name="Rectangle: Rounded Corners 8">
          <a:extLst>
            <a:ext uri="{FF2B5EF4-FFF2-40B4-BE49-F238E27FC236}">
              <a16:creationId xmlns:a16="http://schemas.microsoft.com/office/drawing/2014/main" id="{98648D67-2D10-4DD2-8658-8FA15B27E427}"/>
            </a:ext>
          </a:extLst>
        </xdr:cNvPr>
        <xdr:cNvSpPr/>
      </xdr:nvSpPr>
      <xdr:spPr>
        <a:xfrm>
          <a:off x="5645425" y="1470992"/>
          <a:ext cx="2593009" cy="10601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Times New Roman" panose="02020603050405020304" pitchFamily="18" charset="0"/>
              <a:ea typeface="Calibri"/>
              <a:cs typeface="Times New Roman" panose="02020603050405020304" pitchFamily="18" charset="0"/>
            </a:rPr>
            <a:t>Avg Hospital</a:t>
          </a:r>
          <a:r>
            <a:rPr lang="en-US" sz="1800" b="1" i="0" u="none" strike="noStrike" baseline="0">
              <a:solidFill>
                <a:srgbClr val="000000"/>
              </a:solidFill>
              <a:latin typeface="Times New Roman" panose="02020603050405020304" pitchFamily="18" charset="0"/>
              <a:ea typeface="Calibri"/>
              <a:cs typeface="Times New Roman" panose="02020603050405020304" pitchFamily="18" charset="0"/>
            </a:rPr>
            <a:t> Stay (Days)</a:t>
          </a:r>
        </a:p>
        <a:p>
          <a:pPr algn="ctr"/>
          <a:fld id="{23C42F9C-3616-433F-A697-5D8B88F71ADF}"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17.0617284</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2</xdr:col>
      <xdr:colOff>12891</xdr:colOff>
      <xdr:row>14</xdr:row>
      <xdr:rowOff>69741</xdr:rowOff>
    </xdr:from>
    <xdr:to>
      <xdr:col>9</xdr:col>
      <xdr:colOff>354744</xdr:colOff>
      <xdr:row>29</xdr:row>
      <xdr:rowOff>37380</xdr:rowOff>
    </xdr:to>
    <xdr:graphicFrame macro="">
      <xdr:nvGraphicFramePr>
        <xdr:cNvPr id="11" name="Chart 10">
          <a:extLst>
            <a:ext uri="{FF2B5EF4-FFF2-40B4-BE49-F238E27FC236}">
              <a16:creationId xmlns:a16="http://schemas.microsoft.com/office/drawing/2014/main" id="{EC31971D-D6FC-4383-B0A0-B03B21827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486383</xdr:colOff>
      <xdr:row>14</xdr:row>
      <xdr:rowOff>91311</xdr:rowOff>
    </xdr:from>
    <xdr:to>
      <xdr:col>17</xdr:col>
      <xdr:colOff>470170</xdr:colOff>
      <xdr:row>29</xdr:row>
      <xdr:rowOff>75545</xdr:rowOff>
    </xdr:to>
    <xdr:graphicFrame macro="">
      <xdr:nvGraphicFramePr>
        <xdr:cNvPr id="12" name="Chart 11">
          <a:extLst>
            <a:ext uri="{FF2B5EF4-FFF2-40B4-BE49-F238E27FC236}">
              <a16:creationId xmlns:a16="http://schemas.microsoft.com/office/drawing/2014/main" id="{3A0A244A-F2E8-4F84-B13A-9319F519D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49667</xdr:colOff>
      <xdr:row>29</xdr:row>
      <xdr:rowOff>124602</xdr:rowOff>
    </xdr:from>
    <xdr:to>
      <xdr:col>9</xdr:col>
      <xdr:colOff>372894</xdr:colOff>
      <xdr:row>44</xdr:row>
      <xdr:rowOff>108834</xdr:rowOff>
    </xdr:to>
    <xdr:graphicFrame macro="">
      <xdr:nvGraphicFramePr>
        <xdr:cNvPr id="13" name="Chart 12">
          <a:extLst>
            <a:ext uri="{FF2B5EF4-FFF2-40B4-BE49-F238E27FC236}">
              <a16:creationId xmlns:a16="http://schemas.microsoft.com/office/drawing/2014/main" id="{9FCD238F-9AEF-4265-B76B-597F5FB09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437745</xdr:colOff>
      <xdr:row>45</xdr:row>
      <xdr:rowOff>81065</xdr:rowOff>
    </xdr:from>
    <xdr:to>
      <xdr:col>17</xdr:col>
      <xdr:colOff>437743</xdr:colOff>
      <xdr:row>60</xdr:row>
      <xdr:rowOff>0</xdr:rowOff>
    </xdr:to>
    <xdr:graphicFrame macro="">
      <xdr:nvGraphicFramePr>
        <xdr:cNvPr id="14" name="Chart 13">
          <a:extLst>
            <a:ext uri="{FF2B5EF4-FFF2-40B4-BE49-F238E27FC236}">
              <a16:creationId xmlns:a16="http://schemas.microsoft.com/office/drawing/2014/main" id="{AE7D5C02-B3B9-4E85-985D-0DF36FAF2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42401</xdr:colOff>
      <xdr:row>45</xdr:row>
      <xdr:rowOff>32100</xdr:rowOff>
    </xdr:from>
    <xdr:to>
      <xdr:col>9</xdr:col>
      <xdr:colOff>324256</xdr:colOff>
      <xdr:row>59</xdr:row>
      <xdr:rowOff>176163</xdr:rowOff>
    </xdr:to>
    <xdr:graphicFrame macro="">
      <xdr:nvGraphicFramePr>
        <xdr:cNvPr id="15" name="Chart 14">
          <a:extLst>
            <a:ext uri="{FF2B5EF4-FFF2-40B4-BE49-F238E27FC236}">
              <a16:creationId xmlns:a16="http://schemas.microsoft.com/office/drawing/2014/main" id="{5F8FE4FF-C00E-4B07-B37D-0349605D3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499352</xdr:colOff>
      <xdr:row>30</xdr:row>
      <xdr:rowOff>24400</xdr:rowOff>
    </xdr:from>
    <xdr:to>
      <xdr:col>17</xdr:col>
      <xdr:colOff>453957</xdr:colOff>
      <xdr:row>44</xdr:row>
      <xdr:rowOff>145915</xdr:rowOff>
    </xdr:to>
    <xdr:graphicFrame macro="">
      <xdr:nvGraphicFramePr>
        <xdr:cNvPr id="16" name="Chart 15">
          <a:extLst>
            <a:ext uri="{FF2B5EF4-FFF2-40B4-BE49-F238E27FC236}">
              <a16:creationId xmlns:a16="http://schemas.microsoft.com/office/drawing/2014/main" id="{814D9334-72EC-40A1-8277-55AE9828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41155</xdr:colOff>
      <xdr:row>14</xdr:row>
      <xdr:rowOff>119864</xdr:rowOff>
    </xdr:from>
    <xdr:to>
      <xdr:col>22</xdr:col>
      <xdr:colOff>403239</xdr:colOff>
      <xdr:row>26</xdr:row>
      <xdr:rowOff>179796</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5F5E2091-1157-4606-A0FE-C2C5358C730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951610" y="2786864"/>
              <a:ext cx="2786629" cy="2345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2000</xdr:colOff>
      <xdr:row>38</xdr:row>
      <xdr:rowOff>42334</xdr:rowOff>
    </xdr:from>
    <xdr:to>
      <xdr:col>22</xdr:col>
      <xdr:colOff>406400</xdr:colOff>
      <xdr:row>49</xdr:row>
      <xdr:rowOff>84668</xdr:rowOff>
    </xdr:to>
    <mc:AlternateContent xmlns:mc="http://schemas.openxmlformats.org/markup-compatibility/2006">
      <mc:Choice xmlns:a14="http://schemas.microsoft.com/office/drawing/2010/main" Requires="a14">
        <xdr:graphicFrame macro="">
          <xdr:nvGraphicFramePr>
            <xdr:cNvPr id="19" name="Treatment Type 1">
              <a:extLst>
                <a:ext uri="{FF2B5EF4-FFF2-40B4-BE49-F238E27FC236}">
                  <a16:creationId xmlns:a16="http://schemas.microsoft.com/office/drawing/2014/main" id="{9F4E124D-1C31-4784-BF62-DF030D98F783}"/>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dr:sp macro="" textlink="">
          <xdr:nvSpPr>
            <xdr:cNvPr id="0" name=""/>
            <xdr:cNvSpPr>
              <a:spLocks noTextEdit="1"/>
            </xdr:cNvSpPr>
          </xdr:nvSpPr>
          <xdr:spPr>
            <a:xfrm>
              <a:off x="10912455" y="7281334"/>
              <a:ext cx="2828945" cy="2137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7796</xdr:colOff>
      <xdr:row>49</xdr:row>
      <xdr:rowOff>148167</xdr:rowOff>
    </xdr:from>
    <xdr:to>
      <xdr:col>22</xdr:col>
      <xdr:colOff>440267</xdr:colOff>
      <xdr:row>59</xdr:row>
      <xdr:rowOff>157822</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CA9A6ED3-F84F-4760-A262-356F93FF3BF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918251" y="9482667"/>
              <a:ext cx="2857016" cy="1914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32279</xdr:colOff>
      <xdr:row>27</xdr:row>
      <xdr:rowOff>57013</xdr:rowOff>
    </xdr:from>
    <xdr:to>
      <xdr:col>22</xdr:col>
      <xdr:colOff>386062</xdr:colOff>
      <xdr:row>38</xdr:row>
      <xdr:rowOff>0</xdr:rowOff>
    </xdr:to>
    <mc:AlternateContent xmlns:mc="http://schemas.openxmlformats.org/markup-compatibility/2006">
      <mc:Choice xmlns:a14="http://schemas.microsoft.com/office/drawing/2010/main" Requires="a14">
        <xdr:graphicFrame macro="">
          <xdr:nvGraphicFramePr>
            <xdr:cNvPr id="21" name="Doctor Name 1">
              <a:extLst>
                <a:ext uri="{FF2B5EF4-FFF2-40B4-BE49-F238E27FC236}">
                  <a16:creationId xmlns:a16="http://schemas.microsoft.com/office/drawing/2014/main" id="{7F0353B6-97F8-4AC6-A9F6-56C1DADB6729}"/>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dr:sp macro="" textlink="">
          <xdr:nvSpPr>
            <xdr:cNvPr id="0" name=""/>
            <xdr:cNvSpPr>
              <a:spLocks noTextEdit="1"/>
            </xdr:cNvSpPr>
          </xdr:nvSpPr>
          <xdr:spPr>
            <a:xfrm>
              <a:off x="10942734" y="5200513"/>
              <a:ext cx="2778328" cy="2038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261006</xdr:colOff>
      <xdr:row>10</xdr:row>
      <xdr:rowOff>71120</xdr:rowOff>
    </xdr:from>
    <xdr:to>
      <xdr:col>5</xdr:col>
      <xdr:colOff>355599</xdr:colOff>
      <xdr:row>14</xdr:row>
      <xdr:rowOff>20320</xdr:rowOff>
    </xdr:to>
    <xdr:pic>
      <xdr:nvPicPr>
        <xdr:cNvPr id="23" name="Graphic 22" descr="Users with solid fill">
          <a:extLst>
            <a:ext uri="{FF2B5EF4-FFF2-40B4-BE49-F238E27FC236}">
              <a16:creationId xmlns:a16="http://schemas.microsoft.com/office/drawing/2014/main" id="{18E80724-5B57-978C-B5AC-43F54D3E62E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99406" y="1899920"/>
          <a:ext cx="704193" cy="680720"/>
        </a:xfrm>
        <a:prstGeom prst="rect">
          <a:avLst/>
        </a:prstGeom>
      </xdr:spPr>
    </xdr:pic>
    <xdr:clientData/>
  </xdr:twoCellAnchor>
  <xdr:twoCellAnchor editAs="oneCell">
    <xdr:from>
      <xdr:col>21</xdr:col>
      <xdr:colOff>284480</xdr:colOff>
      <xdr:row>10</xdr:row>
      <xdr:rowOff>20320</xdr:rowOff>
    </xdr:from>
    <xdr:to>
      <xdr:col>22</xdr:col>
      <xdr:colOff>264160</xdr:colOff>
      <xdr:row>13</xdr:row>
      <xdr:rowOff>60960</xdr:rowOff>
    </xdr:to>
    <xdr:pic>
      <xdr:nvPicPr>
        <xdr:cNvPr id="25" name="Graphic 24" descr="Daily calendar with solid fill">
          <a:extLst>
            <a:ext uri="{FF2B5EF4-FFF2-40B4-BE49-F238E27FC236}">
              <a16:creationId xmlns:a16="http://schemas.microsoft.com/office/drawing/2014/main" id="{5D361FB1-1676-C7CA-7489-5AB4F4CD32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086080" y="1849120"/>
          <a:ext cx="589280" cy="589280"/>
        </a:xfrm>
        <a:prstGeom prst="rect">
          <a:avLst/>
        </a:prstGeom>
      </xdr:spPr>
    </xdr:pic>
    <xdr:clientData/>
  </xdr:twoCellAnchor>
  <xdr:twoCellAnchor editAs="oneCell">
    <xdr:from>
      <xdr:col>8</xdr:col>
      <xdr:colOff>182880</xdr:colOff>
      <xdr:row>10</xdr:row>
      <xdr:rowOff>20320</xdr:rowOff>
    </xdr:from>
    <xdr:to>
      <xdr:col>9</xdr:col>
      <xdr:colOff>111760</xdr:colOff>
      <xdr:row>13</xdr:row>
      <xdr:rowOff>10160</xdr:rowOff>
    </xdr:to>
    <xdr:pic>
      <xdr:nvPicPr>
        <xdr:cNvPr id="27" name="Graphic 26" descr="Dollar with solid fill">
          <a:extLst>
            <a:ext uri="{FF2B5EF4-FFF2-40B4-BE49-F238E27FC236}">
              <a16:creationId xmlns:a16="http://schemas.microsoft.com/office/drawing/2014/main" id="{F7521305-4754-56AE-51FA-1A7E8E38A1B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59680" y="1849120"/>
          <a:ext cx="538480" cy="538480"/>
        </a:xfrm>
        <a:prstGeom prst="rect">
          <a:avLst/>
        </a:prstGeom>
      </xdr:spPr>
    </xdr:pic>
    <xdr:clientData/>
  </xdr:twoCellAnchor>
  <xdr:twoCellAnchor editAs="oneCell">
    <xdr:from>
      <xdr:col>16</xdr:col>
      <xdr:colOff>528320</xdr:colOff>
      <xdr:row>10</xdr:row>
      <xdr:rowOff>50800</xdr:rowOff>
    </xdr:from>
    <xdr:to>
      <xdr:col>17</xdr:col>
      <xdr:colOff>447040</xdr:colOff>
      <xdr:row>13</xdr:row>
      <xdr:rowOff>30480</xdr:rowOff>
    </xdr:to>
    <xdr:pic>
      <xdr:nvPicPr>
        <xdr:cNvPr id="29" name="Graphic 28" descr="Heartbeat with solid fill">
          <a:extLst>
            <a:ext uri="{FF2B5EF4-FFF2-40B4-BE49-F238E27FC236}">
              <a16:creationId xmlns:a16="http://schemas.microsoft.com/office/drawing/2014/main" id="{F0C8B228-95DC-3D54-0B40-E97EEA62CC3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1920" y="1879600"/>
          <a:ext cx="528320" cy="528320"/>
        </a:xfrm>
        <a:prstGeom prst="rect">
          <a:avLst/>
        </a:prstGeom>
      </xdr:spPr>
    </xdr:pic>
    <xdr:clientData/>
  </xdr:twoCellAnchor>
  <xdr:twoCellAnchor editAs="oneCell">
    <xdr:from>
      <xdr:col>12</xdr:col>
      <xdr:colOff>226480</xdr:colOff>
      <xdr:row>10</xdr:row>
      <xdr:rowOff>23280</xdr:rowOff>
    </xdr:from>
    <xdr:to>
      <xdr:col>13</xdr:col>
      <xdr:colOff>142240</xdr:colOff>
      <xdr:row>13</xdr:row>
      <xdr:rowOff>0</xdr:rowOff>
    </xdr:to>
    <xdr:pic>
      <xdr:nvPicPr>
        <xdr:cNvPr id="31" name="Graphic 30" descr="Sleep with solid fill">
          <a:extLst>
            <a:ext uri="{FF2B5EF4-FFF2-40B4-BE49-F238E27FC236}">
              <a16:creationId xmlns:a16="http://schemas.microsoft.com/office/drawing/2014/main" id="{8BD956AB-E9D0-4D56-C5C2-EC2044D64C0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541680" y="1852080"/>
          <a:ext cx="525360" cy="5253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835848726849" createdVersion="8" refreshedVersion="8" minRefreshableVersion="3" recordCount="200" xr:uid="{2DC8FF2B-5FCB-437F-9A3C-95405C014117}">
  <cacheSource type="worksheet">
    <worksheetSource name="Table1"/>
  </cacheSource>
  <cacheFields count="11">
    <cacheField name="Patient ID" numFmtId="0">
      <sharedItems count="2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2">
        <s v="Low Cost"/>
        <s v="High Cost"/>
      </sharedItems>
    </cacheField>
    <cacheField name="Age Notes" numFmtId="0">
      <sharedItems count="7">
        <s v="Elderly"/>
        <s v="Child"/>
        <s v="Middle-aged"/>
        <s v="Young Adult"/>
        <s v="Adult"/>
        <s v="Senior"/>
        <s v="Teenager"/>
      </sharedItems>
    </cacheField>
  </cacheFields>
  <extLst>
    <ext xmlns:x14="http://schemas.microsoft.com/office/spreadsheetml/2009/9/main" uri="{725AE2AE-9491-48be-B2B4-4EB974FC3084}">
      <x14:pivotCacheDefinition pivotCacheId="1850676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12"/>
    <n v="68632.97"/>
    <n v="21"/>
    <n v="82"/>
    <x v="0"/>
    <x v="0"/>
  </r>
  <r>
    <x v="1"/>
    <x v="1"/>
    <x v="1"/>
    <x v="1"/>
    <x v="1"/>
    <n v="52"/>
    <n v="10231.42"/>
    <n v="20"/>
    <n v="42"/>
    <x v="0"/>
    <x v="1"/>
  </r>
  <r>
    <x v="2"/>
    <x v="1"/>
    <x v="0"/>
    <x v="0"/>
    <x v="1"/>
    <n v="79"/>
    <n v="10160.24"/>
    <n v="2"/>
    <n v="72"/>
    <x v="0"/>
    <x v="2"/>
  </r>
  <r>
    <x v="3"/>
    <x v="1"/>
    <x v="0"/>
    <x v="0"/>
    <x v="0"/>
    <n v="23"/>
    <n v="103508.96"/>
    <n v="20"/>
    <n v="50"/>
    <x v="1"/>
    <x v="0"/>
  </r>
  <r>
    <x v="4"/>
    <x v="2"/>
    <x v="1"/>
    <x v="2"/>
    <x v="0"/>
    <n v="7"/>
    <n v="143427.51999999999"/>
    <n v="6"/>
    <n v="43"/>
    <x v="1"/>
    <x v="3"/>
  </r>
  <r>
    <x v="5"/>
    <x v="3"/>
    <x v="1"/>
    <x v="3"/>
    <x v="0"/>
    <n v="78"/>
    <n v="146252.19"/>
    <n v="9"/>
    <n v="41"/>
    <x v="1"/>
    <x v="1"/>
  </r>
  <r>
    <x v="6"/>
    <x v="3"/>
    <x v="2"/>
    <x v="1"/>
    <x v="2"/>
    <n v="30"/>
    <n v="54393.48"/>
    <n v="1"/>
    <n v="42"/>
    <x v="0"/>
    <x v="0"/>
  </r>
  <r>
    <x v="7"/>
    <x v="4"/>
    <x v="2"/>
    <x v="4"/>
    <x v="2"/>
    <n v="68"/>
    <n v="30452.22"/>
    <n v="6"/>
    <n v="77"/>
    <x v="0"/>
    <x v="4"/>
  </r>
  <r>
    <x v="8"/>
    <x v="0"/>
    <x v="2"/>
    <x v="0"/>
    <x v="2"/>
    <n v="41"/>
    <n v="79517.25"/>
    <n v="9"/>
    <n v="62"/>
    <x v="1"/>
    <x v="5"/>
  </r>
  <r>
    <x v="9"/>
    <x v="1"/>
    <x v="1"/>
    <x v="2"/>
    <x v="2"/>
    <n v="56"/>
    <n v="116558.38"/>
    <n v="24"/>
    <n v="48"/>
    <x v="1"/>
    <x v="4"/>
  </r>
  <r>
    <x v="10"/>
    <x v="5"/>
    <x v="1"/>
    <x v="2"/>
    <x v="0"/>
    <n v="24"/>
    <n v="135883.74"/>
    <n v="15"/>
    <n v="54"/>
    <x v="1"/>
    <x v="2"/>
  </r>
  <r>
    <x v="11"/>
    <x v="1"/>
    <x v="2"/>
    <x v="1"/>
    <x v="0"/>
    <n v="62"/>
    <n v="148179.98000000001"/>
    <n v="11"/>
    <n v="87"/>
    <x v="1"/>
    <x v="3"/>
  </r>
  <r>
    <x v="12"/>
    <x v="3"/>
    <x v="2"/>
    <x v="4"/>
    <x v="0"/>
    <n v="65"/>
    <n v="20591.650000000001"/>
    <n v="28"/>
    <n v="52"/>
    <x v="0"/>
    <x v="5"/>
  </r>
  <r>
    <x v="13"/>
    <x v="0"/>
    <x v="2"/>
    <x v="0"/>
    <x v="0"/>
    <n v="13"/>
    <n v="59149.07"/>
    <n v="19"/>
    <n v="86"/>
    <x v="0"/>
    <x v="5"/>
  </r>
  <r>
    <x v="14"/>
    <x v="0"/>
    <x v="3"/>
    <x v="3"/>
    <x v="1"/>
    <n v="39"/>
    <n v="59335.72"/>
    <n v="28"/>
    <n v="80"/>
    <x v="0"/>
    <x v="6"/>
  </r>
  <r>
    <x v="15"/>
    <x v="2"/>
    <x v="1"/>
    <x v="0"/>
    <x v="1"/>
    <n v="85"/>
    <n v="101936.34"/>
    <n v="27"/>
    <n v="99"/>
    <x v="1"/>
    <x v="4"/>
  </r>
  <r>
    <x v="16"/>
    <x v="2"/>
    <x v="3"/>
    <x v="0"/>
    <x v="1"/>
    <n v="52"/>
    <n v="107481.12"/>
    <n v="8"/>
    <n v="93"/>
    <x v="1"/>
    <x v="0"/>
  </r>
  <r>
    <x v="17"/>
    <x v="5"/>
    <x v="0"/>
    <x v="2"/>
    <x v="1"/>
    <n v="25"/>
    <n v="142574.53"/>
    <n v="30"/>
    <n v="99"/>
    <x v="1"/>
    <x v="2"/>
  </r>
  <r>
    <x v="18"/>
    <x v="1"/>
    <x v="3"/>
    <x v="2"/>
    <x v="1"/>
    <n v="1"/>
    <n v="43174.44"/>
    <n v="24"/>
    <n v="100"/>
    <x v="0"/>
    <x v="3"/>
  </r>
  <r>
    <x v="19"/>
    <x v="4"/>
    <x v="1"/>
    <x v="0"/>
    <x v="0"/>
    <n v="3"/>
    <n v="125171.58"/>
    <n v="30"/>
    <n v="89"/>
    <x v="1"/>
    <x v="1"/>
  </r>
  <r>
    <x v="20"/>
    <x v="1"/>
    <x v="0"/>
    <x v="3"/>
    <x v="1"/>
    <n v="31"/>
    <n v="51842.34"/>
    <n v="15"/>
    <n v="74"/>
    <x v="0"/>
    <x v="1"/>
  </r>
  <r>
    <x v="21"/>
    <x v="5"/>
    <x v="0"/>
    <x v="3"/>
    <x v="1"/>
    <n v="66"/>
    <n v="30547.73"/>
    <n v="11"/>
    <n v="47"/>
    <x v="0"/>
    <x v="4"/>
  </r>
  <r>
    <x v="22"/>
    <x v="2"/>
    <x v="0"/>
    <x v="4"/>
    <x v="1"/>
    <n v="68"/>
    <n v="68961.679999999993"/>
    <n v="5"/>
    <n v="67"/>
    <x v="0"/>
    <x v="5"/>
  </r>
  <r>
    <x v="23"/>
    <x v="5"/>
    <x v="0"/>
    <x v="4"/>
    <x v="2"/>
    <n v="75"/>
    <n v="89887.05"/>
    <n v="28"/>
    <n v="92"/>
    <x v="1"/>
    <x v="5"/>
  </r>
  <r>
    <x v="24"/>
    <x v="1"/>
    <x v="1"/>
    <x v="0"/>
    <x v="1"/>
    <n v="35"/>
    <n v="54350.5"/>
    <n v="24"/>
    <n v="70"/>
    <x v="0"/>
    <x v="0"/>
  </r>
  <r>
    <x v="25"/>
    <x v="4"/>
    <x v="0"/>
    <x v="2"/>
    <x v="1"/>
    <n v="56"/>
    <n v="47635.12"/>
    <n v="3"/>
    <n v="47"/>
    <x v="0"/>
    <x v="4"/>
  </r>
  <r>
    <x v="26"/>
    <x v="2"/>
    <x v="3"/>
    <x v="2"/>
    <x v="2"/>
    <n v="34"/>
    <n v="136077.99"/>
    <n v="25"/>
    <n v="58"/>
    <x v="1"/>
    <x v="2"/>
  </r>
  <r>
    <x v="27"/>
    <x v="3"/>
    <x v="0"/>
    <x v="2"/>
    <x v="1"/>
    <n v="31"/>
    <n v="103276.56"/>
    <n v="30"/>
    <n v="84"/>
    <x v="1"/>
    <x v="4"/>
  </r>
  <r>
    <x v="28"/>
    <x v="0"/>
    <x v="3"/>
    <x v="3"/>
    <x v="1"/>
    <n v="25"/>
    <n v="38676.85"/>
    <n v="9"/>
    <n v="70"/>
    <x v="0"/>
    <x v="4"/>
  </r>
  <r>
    <x v="29"/>
    <x v="0"/>
    <x v="3"/>
    <x v="4"/>
    <x v="2"/>
    <n v="86"/>
    <n v="35788.22"/>
    <n v="3"/>
    <n v="66"/>
    <x v="0"/>
    <x v="3"/>
  </r>
  <r>
    <x v="30"/>
    <x v="5"/>
    <x v="1"/>
    <x v="0"/>
    <x v="1"/>
    <n v="79"/>
    <n v="140415.63"/>
    <n v="16"/>
    <n v="67"/>
    <x v="1"/>
    <x v="0"/>
  </r>
  <r>
    <x v="31"/>
    <x v="2"/>
    <x v="3"/>
    <x v="3"/>
    <x v="1"/>
    <n v="51"/>
    <n v="143365.82999999999"/>
    <n v="1"/>
    <n v="58"/>
    <x v="1"/>
    <x v="0"/>
  </r>
  <r>
    <x v="32"/>
    <x v="0"/>
    <x v="1"/>
    <x v="1"/>
    <x v="1"/>
    <n v="1"/>
    <n v="101058.07"/>
    <n v="4"/>
    <n v="81"/>
    <x v="1"/>
    <x v="2"/>
  </r>
  <r>
    <x v="33"/>
    <x v="2"/>
    <x v="0"/>
    <x v="0"/>
    <x v="2"/>
    <n v="58"/>
    <n v="41426.04"/>
    <n v="6"/>
    <n v="67"/>
    <x v="0"/>
    <x v="1"/>
  </r>
  <r>
    <x v="34"/>
    <x v="2"/>
    <x v="2"/>
    <x v="1"/>
    <x v="0"/>
    <n v="15"/>
    <n v="131454.59"/>
    <n v="30"/>
    <n v="83"/>
    <x v="1"/>
    <x v="2"/>
  </r>
  <r>
    <x v="35"/>
    <x v="0"/>
    <x v="1"/>
    <x v="4"/>
    <x v="0"/>
    <n v="5"/>
    <n v="48581.36"/>
    <n v="16"/>
    <n v="40"/>
    <x v="0"/>
    <x v="6"/>
  </r>
  <r>
    <x v="36"/>
    <x v="1"/>
    <x v="0"/>
    <x v="1"/>
    <x v="0"/>
    <n v="41"/>
    <n v="143381.07"/>
    <n v="1"/>
    <n v="87"/>
    <x v="1"/>
    <x v="1"/>
  </r>
  <r>
    <x v="37"/>
    <x v="1"/>
    <x v="0"/>
    <x v="1"/>
    <x v="1"/>
    <n v="3"/>
    <n v="50045.440000000002"/>
    <n v="15"/>
    <n v="84"/>
    <x v="0"/>
    <x v="4"/>
  </r>
  <r>
    <x v="38"/>
    <x v="2"/>
    <x v="0"/>
    <x v="1"/>
    <x v="2"/>
    <n v="58"/>
    <n v="86479.95"/>
    <n v="1"/>
    <n v="75"/>
    <x v="1"/>
    <x v="1"/>
  </r>
  <r>
    <x v="39"/>
    <x v="1"/>
    <x v="3"/>
    <x v="2"/>
    <x v="1"/>
    <n v="14"/>
    <n v="9067.3799999999992"/>
    <n v="28"/>
    <n v="86"/>
    <x v="0"/>
    <x v="2"/>
  </r>
  <r>
    <x v="40"/>
    <x v="1"/>
    <x v="2"/>
    <x v="2"/>
    <x v="1"/>
    <n v="31"/>
    <n v="113414.83"/>
    <n v="8"/>
    <n v="70"/>
    <x v="1"/>
    <x v="6"/>
  </r>
  <r>
    <x v="41"/>
    <x v="4"/>
    <x v="1"/>
    <x v="0"/>
    <x v="1"/>
    <n v="85"/>
    <n v="78946.19"/>
    <n v="3"/>
    <n v="48"/>
    <x v="1"/>
    <x v="4"/>
  </r>
  <r>
    <x v="42"/>
    <x v="0"/>
    <x v="0"/>
    <x v="3"/>
    <x v="1"/>
    <n v="22"/>
    <n v="100035.91"/>
    <n v="29"/>
    <n v="70"/>
    <x v="1"/>
    <x v="0"/>
  </r>
  <r>
    <x v="43"/>
    <x v="1"/>
    <x v="2"/>
    <x v="2"/>
    <x v="1"/>
    <n v="62"/>
    <n v="149340.16"/>
    <n v="18"/>
    <n v="49"/>
    <x v="1"/>
    <x v="3"/>
  </r>
  <r>
    <x v="44"/>
    <x v="0"/>
    <x v="0"/>
    <x v="0"/>
    <x v="0"/>
    <n v="79"/>
    <n v="105328.19"/>
    <n v="26"/>
    <n v="94"/>
    <x v="1"/>
    <x v="5"/>
  </r>
  <r>
    <x v="45"/>
    <x v="0"/>
    <x v="2"/>
    <x v="0"/>
    <x v="2"/>
    <n v="19"/>
    <n v="21826.12"/>
    <n v="17"/>
    <n v="48"/>
    <x v="0"/>
    <x v="0"/>
  </r>
  <r>
    <x v="46"/>
    <x v="5"/>
    <x v="0"/>
    <x v="4"/>
    <x v="1"/>
    <n v="37"/>
    <n v="77556.53"/>
    <n v="24"/>
    <n v="87"/>
    <x v="1"/>
    <x v="6"/>
  </r>
  <r>
    <x v="47"/>
    <x v="5"/>
    <x v="2"/>
    <x v="3"/>
    <x v="1"/>
    <n v="30"/>
    <n v="53806.86"/>
    <n v="21"/>
    <n v="82"/>
    <x v="0"/>
    <x v="4"/>
  </r>
  <r>
    <x v="48"/>
    <x v="1"/>
    <x v="3"/>
    <x v="0"/>
    <x v="1"/>
    <n v="66"/>
    <n v="84096.91"/>
    <n v="18"/>
    <n v="91"/>
    <x v="1"/>
    <x v="4"/>
  </r>
  <r>
    <x v="49"/>
    <x v="0"/>
    <x v="2"/>
    <x v="0"/>
    <x v="1"/>
    <n v="22"/>
    <n v="46384.67"/>
    <n v="3"/>
    <n v="84"/>
    <x v="0"/>
    <x v="5"/>
  </r>
  <r>
    <x v="50"/>
    <x v="0"/>
    <x v="2"/>
    <x v="1"/>
    <x v="1"/>
    <n v="60"/>
    <n v="122442.43"/>
    <n v="6"/>
    <n v="94"/>
    <x v="1"/>
    <x v="3"/>
  </r>
  <r>
    <x v="51"/>
    <x v="4"/>
    <x v="1"/>
    <x v="0"/>
    <x v="2"/>
    <n v="35"/>
    <n v="73863.679999999993"/>
    <n v="17"/>
    <n v="42"/>
    <x v="0"/>
    <x v="5"/>
  </r>
  <r>
    <x v="52"/>
    <x v="2"/>
    <x v="0"/>
    <x v="2"/>
    <x v="0"/>
    <n v="21"/>
    <n v="75334.19"/>
    <n v="23"/>
    <n v="51"/>
    <x v="1"/>
    <x v="4"/>
  </r>
  <r>
    <x v="53"/>
    <x v="4"/>
    <x v="2"/>
    <x v="1"/>
    <x v="2"/>
    <n v="51"/>
    <n v="59829.99"/>
    <n v="2"/>
    <n v="40"/>
    <x v="0"/>
    <x v="3"/>
  </r>
  <r>
    <x v="54"/>
    <x v="4"/>
    <x v="2"/>
    <x v="4"/>
    <x v="0"/>
    <n v="87"/>
    <n v="5444.8"/>
    <n v="5"/>
    <n v="42"/>
    <x v="0"/>
    <x v="2"/>
  </r>
  <r>
    <x v="55"/>
    <x v="3"/>
    <x v="0"/>
    <x v="1"/>
    <x v="1"/>
    <n v="11"/>
    <n v="39022.85"/>
    <n v="8"/>
    <n v="96"/>
    <x v="0"/>
    <x v="0"/>
  </r>
  <r>
    <x v="56"/>
    <x v="1"/>
    <x v="0"/>
    <x v="0"/>
    <x v="1"/>
    <n v="7"/>
    <n v="127110.45"/>
    <n v="30"/>
    <n v="100"/>
    <x v="1"/>
    <x v="1"/>
  </r>
  <r>
    <x v="57"/>
    <x v="3"/>
    <x v="1"/>
    <x v="1"/>
    <x v="2"/>
    <n v="80"/>
    <n v="120082.46"/>
    <n v="16"/>
    <n v="93"/>
    <x v="1"/>
    <x v="1"/>
  </r>
  <r>
    <x v="58"/>
    <x v="1"/>
    <x v="2"/>
    <x v="1"/>
    <x v="1"/>
    <n v="75"/>
    <n v="79671.37"/>
    <n v="30"/>
    <n v="43"/>
    <x v="1"/>
    <x v="0"/>
  </r>
  <r>
    <x v="59"/>
    <x v="0"/>
    <x v="3"/>
    <x v="0"/>
    <x v="1"/>
    <n v="7"/>
    <n v="66277.52"/>
    <n v="26"/>
    <n v="69"/>
    <x v="0"/>
    <x v="0"/>
  </r>
  <r>
    <x v="60"/>
    <x v="2"/>
    <x v="0"/>
    <x v="4"/>
    <x v="0"/>
    <n v="14"/>
    <n v="12241.3"/>
    <n v="20"/>
    <n v="40"/>
    <x v="0"/>
    <x v="1"/>
  </r>
  <r>
    <x v="61"/>
    <x v="5"/>
    <x v="2"/>
    <x v="1"/>
    <x v="1"/>
    <n v="22"/>
    <n v="133882.43"/>
    <n v="29"/>
    <n v="63"/>
    <x v="1"/>
    <x v="6"/>
  </r>
  <r>
    <x v="62"/>
    <x v="3"/>
    <x v="3"/>
    <x v="0"/>
    <x v="2"/>
    <n v="73"/>
    <n v="148488.95000000001"/>
    <n v="22"/>
    <n v="77"/>
    <x v="1"/>
    <x v="3"/>
  </r>
  <r>
    <x v="63"/>
    <x v="4"/>
    <x v="1"/>
    <x v="0"/>
    <x v="2"/>
    <n v="5"/>
    <n v="74239.37"/>
    <n v="7"/>
    <n v="61"/>
    <x v="0"/>
    <x v="5"/>
  </r>
  <r>
    <x v="64"/>
    <x v="2"/>
    <x v="1"/>
    <x v="4"/>
    <x v="1"/>
    <n v="6"/>
    <n v="98732.94"/>
    <n v="25"/>
    <n v="45"/>
    <x v="1"/>
    <x v="1"/>
  </r>
  <r>
    <x v="65"/>
    <x v="0"/>
    <x v="0"/>
    <x v="2"/>
    <x v="0"/>
    <n v="4"/>
    <n v="66339.33"/>
    <n v="5"/>
    <n v="77"/>
    <x v="0"/>
    <x v="1"/>
  </r>
  <r>
    <x v="66"/>
    <x v="0"/>
    <x v="1"/>
    <x v="4"/>
    <x v="1"/>
    <n v="14"/>
    <n v="113363.27"/>
    <n v="9"/>
    <n v="74"/>
    <x v="1"/>
    <x v="1"/>
  </r>
  <r>
    <x v="67"/>
    <x v="0"/>
    <x v="1"/>
    <x v="4"/>
    <x v="0"/>
    <n v="11"/>
    <n v="24492.09"/>
    <n v="8"/>
    <n v="58"/>
    <x v="0"/>
    <x v="6"/>
  </r>
  <r>
    <x v="68"/>
    <x v="3"/>
    <x v="1"/>
    <x v="4"/>
    <x v="0"/>
    <n v="19"/>
    <n v="42080.85"/>
    <n v="29"/>
    <n v="65"/>
    <x v="0"/>
    <x v="1"/>
  </r>
  <r>
    <x v="69"/>
    <x v="4"/>
    <x v="1"/>
    <x v="2"/>
    <x v="2"/>
    <n v="56"/>
    <n v="147658.16"/>
    <n v="11"/>
    <n v="96"/>
    <x v="1"/>
    <x v="6"/>
  </r>
  <r>
    <x v="70"/>
    <x v="2"/>
    <x v="1"/>
    <x v="0"/>
    <x v="0"/>
    <n v="40"/>
    <n v="79386.600000000006"/>
    <n v="21"/>
    <n v="67"/>
    <x v="1"/>
    <x v="2"/>
  </r>
  <r>
    <x v="71"/>
    <x v="5"/>
    <x v="3"/>
    <x v="1"/>
    <x v="1"/>
    <n v="6"/>
    <n v="22175.37"/>
    <n v="17"/>
    <n v="82"/>
    <x v="0"/>
    <x v="4"/>
  </r>
  <r>
    <x v="72"/>
    <x v="4"/>
    <x v="2"/>
    <x v="0"/>
    <x v="2"/>
    <n v="62"/>
    <n v="16296.15"/>
    <n v="28"/>
    <n v="63"/>
    <x v="0"/>
    <x v="1"/>
  </r>
  <r>
    <x v="73"/>
    <x v="4"/>
    <x v="3"/>
    <x v="0"/>
    <x v="2"/>
    <n v="56"/>
    <n v="120488.57"/>
    <n v="30"/>
    <n v="48"/>
    <x v="1"/>
    <x v="5"/>
  </r>
  <r>
    <x v="74"/>
    <x v="2"/>
    <x v="2"/>
    <x v="0"/>
    <x v="0"/>
    <n v="8"/>
    <n v="111873.66"/>
    <n v="16"/>
    <n v="74"/>
    <x v="1"/>
    <x v="2"/>
  </r>
  <r>
    <x v="75"/>
    <x v="2"/>
    <x v="1"/>
    <x v="2"/>
    <x v="1"/>
    <n v="62"/>
    <n v="27610.65"/>
    <n v="26"/>
    <n v="72"/>
    <x v="0"/>
    <x v="1"/>
  </r>
  <r>
    <x v="76"/>
    <x v="2"/>
    <x v="3"/>
    <x v="4"/>
    <x v="2"/>
    <n v="17"/>
    <n v="142458.98000000001"/>
    <n v="6"/>
    <n v="69"/>
    <x v="1"/>
    <x v="5"/>
  </r>
  <r>
    <x v="77"/>
    <x v="2"/>
    <x v="0"/>
    <x v="2"/>
    <x v="2"/>
    <n v="7"/>
    <n v="23799.83"/>
    <n v="26"/>
    <n v="52"/>
    <x v="0"/>
    <x v="6"/>
  </r>
  <r>
    <x v="78"/>
    <x v="5"/>
    <x v="3"/>
    <x v="0"/>
    <x v="2"/>
    <n v="49"/>
    <n v="117019.47"/>
    <n v="28"/>
    <n v="63"/>
    <x v="1"/>
    <x v="1"/>
  </r>
  <r>
    <x v="79"/>
    <x v="5"/>
    <x v="0"/>
    <x v="4"/>
    <x v="2"/>
    <n v="12"/>
    <n v="69472.05"/>
    <n v="11"/>
    <n v="68"/>
    <x v="0"/>
    <x v="2"/>
  </r>
  <r>
    <x v="80"/>
    <x v="3"/>
    <x v="0"/>
    <x v="4"/>
    <x v="0"/>
    <n v="5"/>
    <n v="64103.040000000001"/>
    <n v="14"/>
    <n v="42"/>
    <x v="0"/>
    <x v="1"/>
  </r>
  <r>
    <x v="81"/>
    <x v="2"/>
    <x v="0"/>
    <x v="0"/>
    <x v="2"/>
    <n v="13"/>
    <n v="137441.75"/>
    <n v="23"/>
    <n v="74"/>
    <x v="1"/>
    <x v="1"/>
  </r>
  <r>
    <x v="82"/>
    <x v="3"/>
    <x v="0"/>
    <x v="2"/>
    <x v="0"/>
    <n v="71"/>
    <n v="11066.61"/>
    <n v="17"/>
    <n v="86"/>
    <x v="0"/>
    <x v="6"/>
  </r>
  <r>
    <x v="83"/>
    <x v="4"/>
    <x v="1"/>
    <x v="3"/>
    <x v="0"/>
    <n v="87"/>
    <n v="36726.76"/>
    <n v="4"/>
    <n v="53"/>
    <x v="0"/>
    <x v="5"/>
  </r>
  <r>
    <x v="84"/>
    <x v="1"/>
    <x v="1"/>
    <x v="1"/>
    <x v="2"/>
    <n v="40"/>
    <n v="19717.900000000001"/>
    <n v="20"/>
    <n v="63"/>
    <x v="0"/>
    <x v="0"/>
  </r>
  <r>
    <x v="85"/>
    <x v="5"/>
    <x v="1"/>
    <x v="3"/>
    <x v="2"/>
    <n v="63"/>
    <n v="82657.039999999994"/>
    <n v="4"/>
    <n v="55"/>
    <x v="1"/>
    <x v="4"/>
  </r>
  <r>
    <x v="86"/>
    <x v="1"/>
    <x v="1"/>
    <x v="1"/>
    <x v="2"/>
    <n v="1"/>
    <n v="16874.009999999998"/>
    <n v="14"/>
    <n v="76"/>
    <x v="0"/>
    <x v="5"/>
  </r>
  <r>
    <x v="87"/>
    <x v="1"/>
    <x v="3"/>
    <x v="0"/>
    <x v="1"/>
    <n v="37"/>
    <n v="8578.83"/>
    <n v="2"/>
    <n v="90"/>
    <x v="0"/>
    <x v="1"/>
  </r>
  <r>
    <x v="88"/>
    <x v="5"/>
    <x v="0"/>
    <x v="1"/>
    <x v="1"/>
    <n v="7"/>
    <n v="22311.39"/>
    <n v="14"/>
    <n v="86"/>
    <x v="0"/>
    <x v="4"/>
  </r>
  <r>
    <x v="89"/>
    <x v="3"/>
    <x v="3"/>
    <x v="0"/>
    <x v="2"/>
    <n v="46"/>
    <n v="128560.01"/>
    <n v="7"/>
    <n v="52"/>
    <x v="1"/>
    <x v="1"/>
  </r>
  <r>
    <x v="90"/>
    <x v="4"/>
    <x v="0"/>
    <x v="2"/>
    <x v="2"/>
    <n v="30"/>
    <n v="147742.63"/>
    <n v="28"/>
    <n v="62"/>
    <x v="1"/>
    <x v="2"/>
  </r>
  <r>
    <x v="91"/>
    <x v="1"/>
    <x v="0"/>
    <x v="1"/>
    <x v="2"/>
    <n v="66"/>
    <n v="54562.1"/>
    <n v="21"/>
    <n v="86"/>
    <x v="0"/>
    <x v="4"/>
  </r>
  <r>
    <x v="92"/>
    <x v="5"/>
    <x v="2"/>
    <x v="2"/>
    <x v="2"/>
    <n v="1"/>
    <n v="146289.26999999999"/>
    <n v="17"/>
    <n v="47"/>
    <x v="1"/>
    <x v="5"/>
  </r>
  <r>
    <x v="93"/>
    <x v="4"/>
    <x v="3"/>
    <x v="4"/>
    <x v="2"/>
    <n v="89"/>
    <n v="128840.81"/>
    <n v="22"/>
    <n v="81"/>
    <x v="1"/>
    <x v="1"/>
  </r>
  <r>
    <x v="94"/>
    <x v="2"/>
    <x v="1"/>
    <x v="1"/>
    <x v="2"/>
    <n v="48"/>
    <n v="19629.22"/>
    <n v="2"/>
    <n v="95"/>
    <x v="0"/>
    <x v="0"/>
  </r>
  <r>
    <x v="95"/>
    <x v="4"/>
    <x v="2"/>
    <x v="4"/>
    <x v="0"/>
    <n v="59"/>
    <n v="73629.03"/>
    <n v="10"/>
    <n v="85"/>
    <x v="0"/>
    <x v="2"/>
  </r>
  <r>
    <x v="96"/>
    <x v="3"/>
    <x v="1"/>
    <x v="4"/>
    <x v="2"/>
    <n v="54"/>
    <n v="100747.7"/>
    <n v="12"/>
    <n v="74"/>
    <x v="1"/>
    <x v="2"/>
  </r>
  <r>
    <x v="97"/>
    <x v="1"/>
    <x v="0"/>
    <x v="0"/>
    <x v="2"/>
    <n v="35"/>
    <n v="85523.17"/>
    <n v="30"/>
    <n v="90"/>
    <x v="1"/>
    <x v="2"/>
  </r>
  <r>
    <x v="98"/>
    <x v="4"/>
    <x v="1"/>
    <x v="2"/>
    <x v="2"/>
    <n v="33"/>
    <n v="79151.14"/>
    <n v="2"/>
    <n v="56"/>
    <x v="1"/>
    <x v="4"/>
  </r>
  <r>
    <x v="99"/>
    <x v="5"/>
    <x v="0"/>
    <x v="2"/>
    <x v="0"/>
    <n v="30"/>
    <n v="115395.67"/>
    <n v="11"/>
    <n v="74"/>
    <x v="1"/>
    <x v="4"/>
  </r>
  <r>
    <x v="100"/>
    <x v="2"/>
    <x v="2"/>
    <x v="0"/>
    <x v="0"/>
    <n v="60"/>
    <n v="49131.44"/>
    <n v="2"/>
    <n v="44"/>
    <x v="0"/>
    <x v="4"/>
  </r>
  <r>
    <x v="101"/>
    <x v="4"/>
    <x v="0"/>
    <x v="2"/>
    <x v="2"/>
    <n v="70"/>
    <n v="58132.5"/>
    <n v="25"/>
    <n v="43"/>
    <x v="0"/>
    <x v="5"/>
  </r>
  <r>
    <x v="102"/>
    <x v="5"/>
    <x v="3"/>
    <x v="0"/>
    <x v="0"/>
    <n v="6"/>
    <n v="77311.77"/>
    <n v="19"/>
    <n v="90"/>
    <x v="1"/>
    <x v="5"/>
  </r>
  <r>
    <x v="103"/>
    <x v="3"/>
    <x v="2"/>
    <x v="4"/>
    <x v="2"/>
    <n v="70"/>
    <n v="14270.62"/>
    <n v="24"/>
    <n v="43"/>
    <x v="0"/>
    <x v="1"/>
  </r>
  <r>
    <x v="104"/>
    <x v="1"/>
    <x v="2"/>
    <x v="3"/>
    <x v="0"/>
    <n v="52"/>
    <n v="97685.72"/>
    <n v="28"/>
    <n v="59"/>
    <x v="1"/>
    <x v="5"/>
  </r>
  <r>
    <x v="105"/>
    <x v="0"/>
    <x v="1"/>
    <x v="2"/>
    <x v="1"/>
    <n v="64"/>
    <n v="142687.47"/>
    <n v="27"/>
    <n v="80"/>
    <x v="1"/>
    <x v="2"/>
  </r>
  <r>
    <x v="106"/>
    <x v="4"/>
    <x v="2"/>
    <x v="1"/>
    <x v="2"/>
    <n v="35"/>
    <n v="36754.51"/>
    <n v="27"/>
    <n v="49"/>
    <x v="0"/>
    <x v="5"/>
  </r>
  <r>
    <x v="107"/>
    <x v="1"/>
    <x v="1"/>
    <x v="1"/>
    <x v="2"/>
    <n v="62"/>
    <n v="34938.57"/>
    <n v="8"/>
    <n v="70"/>
    <x v="0"/>
    <x v="4"/>
  </r>
  <r>
    <x v="108"/>
    <x v="2"/>
    <x v="2"/>
    <x v="0"/>
    <x v="0"/>
    <n v="22"/>
    <n v="97228.49"/>
    <n v="7"/>
    <n v="60"/>
    <x v="1"/>
    <x v="5"/>
  </r>
  <r>
    <x v="109"/>
    <x v="3"/>
    <x v="2"/>
    <x v="1"/>
    <x v="0"/>
    <n v="42"/>
    <n v="91441.1"/>
    <n v="22"/>
    <n v="84"/>
    <x v="1"/>
    <x v="3"/>
  </r>
  <r>
    <x v="110"/>
    <x v="0"/>
    <x v="3"/>
    <x v="4"/>
    <x v="0"/>
    <n v="24"/>
    <n v="139624.06"/>
    <n v="5"/>
    <n v="55"/>
    <x v="1"/>
    <x v="4"/>
  </r>
  <r>
    <x v="111"/>
    <x v="3"/>
    <x v="1"/>
    <x v="0"/>
    <x v="2"/>
    <n v="17"/>
    <n v="86650.5"/>
    <n v="3"/>
    <n v="53"/>
    <x v="1"/>
    <x v="3"/>
  </r>
  <r>
    <x v="112"/>
    <x v="4"/>
    <x v="0"/>
    <x v="1"/>
    <x v="1"/>
    <n v="75"/>
    <n v="85517.09"/>
    <n v="6"/>
    <n v="79"/>
    <x v="1"/>
    <x v="6"/>
  </r>
  <r>
    <x v="113"/>
    <x v="0"/>
    <x v="0"/>
    <x v="1"/>
    <x v="0"/>
    <n v="47"/>
    <n v="134120.62"/>
    <n v="11"/>
    <n v="92"/>
    <x v="1"/>
    <x v="0"/>
  </r>
  <r>
    <x v="114"/>
    <x v="2"/>
    <x v="3"/>
    <x v="2"/>
    <x v="2"/>
    <n v="81"/>
    <n v="22593.06"/>
    <n v="6"/>
    <n v="67"/>
    <x v="0"/>
    <x v="2"/>
  </r>
  <r>
    <x v="115"/>
    <x v="0"/>
    <x v="2"/>
    <x v="2"/>
    <x v="1"/>
    <n v="20"/>
    <n v="88741.64"/>
    <n v="26"/>
    <n v="99"/>
    <x v="1"/>
    <x v="0"/>
  </r>
  <r>
    <x v="116"/>
    <x v="0"/>
    <x v="1"/>
    <x v="1"/>
    <x v="1"/>
    <n v="14"/>
    <n v="10917.19"/>
    <n v="22"/>
    <n v="43"/>
    <x v="0"/>
    <x v="3"/>
  </r>
  <r>
    <x v="117"/>
    <x v="0"/>
    <x v="3"/>
    <x v="4"/>
    <x v="0"/>
    <n v="30"/>
    <n v="97613.71"/>
    <n v="24"/>
    <n v="72"/>
    <x v="1"/>
    <x v="6"/>
  </r>
  <r>
    <x v="118"/>
    <x v="5"/>
    <x v="3"/>
    <x v="2"/>
    <x v="0"/>
    <n v="81"/>
    <n v="135711.26999999999"/>
    <n v="14"/>
    <n v="99"/>
    <x v="1"/>
    <x v="4"/>
  </r>
  <r>
    <x v="119"/>
    <x v="1"/>
    <x v="1"/>
    <x v="2"/>
    <x v="0"/>
    <n v="48"/>
    <n v="117464.18"/>
    <n v="2"/>
    <n v="61"/>
    <x v="1"/>
    <x v="0"/>
  </r>
  <r>
    <x v="120"/>
    <x v="2"/>
    <x v="1"/>
    <x v="2"/>
    <x v="2"/>
    <n v="45"/>
    <n v="89474.55"/>
    <n v="21"/>
    <n v="64"/>
    <x v="1"/>
    <x v="2"/>
  </r>
  <r>
    <x v="121"/>
    <x v="0"/>
    <x v="3"/>
    <x v="4"/>
    <x v="2"/>
    <n v="1"/>
    <n v="105954.09"/>
    <n v="12"/>
    <n v="95"/>
    <x v="1"/>
    <x v="2"/>
  </r>
  <r>
    <x v="122"/>
    <x v="1"/>
    <x v="2"/>
    <x v="3"/>
    <x v="0"/>
    <n v="30"/>
    <n v="91267.91"/>
    <n v="17"/>
    <n v="76"/>
    <x v="1"/>
    <x v="1"/>
  </r>
  <r>
    <x v="123"/>
    <x v="5"/>
    <x v="0"/>
    <x v="3"/>
    <x v="0"/>
    <n v="3"/>
    <n v="46506.94"/>
    <n v="9"/>
    <n v="72"/>
    <x v="0"/>
    <x v="4"/>
  </r>
  <r>
    <x v="124"/>
    <x v="4"/>
    <x v="3"/>
    <x v="1"/>
    <x v="0"/>
    <n v="78"/>
    <n v="40568.300000000003"/>
    <n v="18"/>
    <n v="91"/>
    <x v="0"/>
    <x v="1"/>
  </r>
  <r>
    <x v="125"/>
    <x v="2"/>
    <x v="0"/>
    <x v="4"/>
    <x v="1"/>
    <n v="35"/>
    <n v="132265.98000000001"/>
    <n v="7"/>
    <n v="45"/>
    <x v="1"/>
    <x v="0"/>
  </r>
  <r>
    <x v="126"/>
    <x v="1"/>
    <x v="3"/>
    <x v="2"/>
    <x v="1"/>
    <n v="88"/>
    <n v="50993.47"/>
    <n v="4"/>
    <n v="82"/>
    <x v="0"/>
    <x v="4"/>
  </r>
  <r>
    <x v="127"/>
    <x v="2"/>
    <x v="3"/>
    <x v="1"/>
    <x v="1"/>
    <n v="7"/>
    <n v="135590.48000000001"/>
    <n v="6"/>
    <n v="46"/>
    <x v="1"/>
    <x v="0"/>
  </r>
  <r>
    <x v="128"/>
    <x v="1"/>
    <x v="3"/>
    <x v="4"/>
    <x v="0"/>
    <n v="73"/>
    <n v="148956.56"/>
    <n v="6"/>
    <n v="100"/>
    <x v="1"/>
    <x v="1"/>
  </r>
  <r>
    <x v="129"/>
    <x v="3"/>
    <x v="1"/>
    <x v="0"/>
    <x v="1"/>
    <n v="83"/>
    <n v="71584.960000000006"/>
    <n v="26"/>
    <n v="55"/>
    <x v="0"/>
    <x v="5"/>
  </r>
  <r>
    <x v="130"/>
    <x v="2"/>
    <x v="2"/>
    <x v="1"/>
    <x v="2"/>
    <n v="37"/>
    <n v="78613.16"/>
    <n v="20"/>
    <n v="85"/>
    <x v="1"/>
    <x v="0"/>
  </r>
  <r>
    <x v="131"/>
    <x v="2"/>
    <x v="0"/>
    <x v="2"/>
    <x v="1"/>
    <n v="53"/>
    <n v="103548.4"/>
    <n v="27"/>
    <n v="74"/>
    <x v="1"/>
    <x v="4"/>
  </r>
  <r>
    <x v="132"/>
    <x v="4"/>
    <x v="0"/>
    <x v="4"/>
    <x v="2"/>
    <n v="50"/>
    <n v="62134.18"/>
    <n v="13"/>
    <n v="40"/>
    <x v="0"/>
    <x v="2"/>
  </r>
  <r>
    <x v="133"/>
    <x v="5"/>
    <x v="3"/>
    <x v="4"/>
    <x v="1"/>
    <n v="7"/>
    <n v="59235.13"/>
    <n v="12"/>
    <n v="42"/>
    <x v="0"/>
    <x v="2"/>
  </r>
  <r>
    <x v="134"/>
    <x v="0"/>
    <x v="2"/>
    <x v="4"/>
    <x v="1"/>
    <n v="38"/>
    <n v="118022.05"/>
    <n v="17"/>
    <n v="79"/>
    <x v="1"/>
    <x v="1"/>
  </r>
  <r>
    <x v="135"/>
    <x v="3"/>
    <x v="0"/>
    <x v="3"/>
    <x v="0"/>
    <n v="49"/>
    <n v="127750.62"/>
    <n v="18"/>
    <n v="60"/>
    <x v="1"/>
    <x v="4"/>
  </r>
  <r>
    <x v="136"/>
    <x v="1"/>
    <x v="2"/>
    <x v="1"/>
    <x v="2"/>
    <n v="27"/>
    <n v="79666.86"/>
    <n v="16"/>
    <n v="85"/>
    <x v="1"/>
    <x v="2"/>
  </r>
  <r>
    <x v="137"/>
    <x v="2"/>
    <x v="3"/>
    <x v="0"/>
    <x v="0"/>
    <n v="65"/>
    <n v="120956.04"/>
    <n v="25"/>
    <n v="95"/>
    <x v="1"/>
    <x v="3"/>
  </r>
  <r>
    <x v="138"/>
    <x v="0"/>
    <x v="2"/>
    <x v="3"/>
    <x v="1"/>
    <n v="58"/>
    <n v="100338.81"/>
    <n v="7"/>
    <n v="59"/>
    <x v="1"/>
    <x v="5"/>
  </r>
  <r>
    <x v="139"/>
    <x v="4"/>
    <x v="2"/>
    <x v="0"/>
    <x v="0"/>
    <n v="22"/>
    <n v="120621.62"/>
    <n v="21"/>
    <n v="74"/>
    <x v="1"/>
    <x v="2"/>
  </r>
  <r>
    <x v="140"/>
    <x v="0"/>
    <x v="2"/>
    <x v="2"/>
    <x v="1"/>
    <n v="10"/>
    <n v="21143.75"/>
    <n v="2"/>
    <n v="42"/>
    <x v="0"/>
    <x v="3"/>
  </r>
  <r>
    <x v="141"/>
    <x v="4"/>
    <x v="2"/>
    <x v="4"/>
    <x v="2"/>
    <n v="37"/>
    <n v="58168.06"/>
    <n v="3"/>
    <n v="84"/>
    <x v="0"/>
    <x v="1"/>
  </r>
  <r>
    <x v="142"/>
    <x v="1"/>
    <x v="3"/>
    <x v="4"/>
    <x v="0"/>
    <n v="57"/>
    <n v="121600.57"/>
    <n v="19"/>
    <n v="94"/>
    <x v="1"/>
    <x v="4"/>
  </r>
  <r>
    <x v="143"/>
    <x v="3"/>
    <x v="1"/>
    <x v="3"/>
    <x v="1"/>
    <n v="26"/>
    <n v="60409.31"/>
    <n v="25"/>
    <n v="94"/>
    <x v="0"/>
    <x v="2"/>
  </r>
  <r>
    <x v="144"/>
    <x v="0"/>
    <x v="1"/>
    <x v="2"/>
    <x v="1"/>
    <n v="51"/>
    <n v="148766.01"/>
    <n v="21"/>
    <n v="76"/>
    <x v="1"/>
    <x v="3"/>
  </r>
  <r>
    <x v="145"/>
    <x v="0"/>
    <x v="2"/>
    <x v="3"/>
    <x v="1"/>
    <n v="1"/>
    <n v="46211.03"/>
    <n v="4"/>
    <n v="97"/>
    <x v="0"/>
    <x v="2"/>
  </r>
  <r>
    <x v="146"/>
    <x v="5"/>
    <x v="0"/>
    <x v="3"/>
    <x v="1"/>
    <n v="61"/>
    <n v="32781.94"/>
    <n v="1"/>
    <n v="83"/>
    <x v="0"/>
    <x v="1"/>
  </r>
  <r>
    <x v="147"/>
    <x v="5"/>
    <x v="1"/>
    <x v="1"/>
    <x v="2"/>
    <n v="34"/>
    <n v="139264.72"/>
    <n v="14"/>
    <n v="72"/>
    <x v="1"/>
    <x v="5"/>
  </r>
  <r>
    <x v="148"/>
    <x v="1"/>
    <x v="0"/>
    <x v="4"/>
    <x v="0"/>
    <n v="78"/>
    <n v="15165.98"/>
    <n v="25"/>
    <n v="86"/>
    <x v="0"/>
    <x v="4"/>
  </r>
  <r>
    <x v="149"/>
    <x v="0"/>
    <x v="2"/>
    <x v="1"/>
    <x v="1"/>
    <n v="73"/>
    <n v="133910.69"/>
    <n v="22"/>
    <n v="87"/>
    <x v="1"/>
    <x v="0"/>
  </r>
  <r>
    <x v="150"/>
    <x v="3"/>
    <x v="2"/>
    <x v="0"/>
    <x v="1"/>
    <n v="8"/>
    <n v="82835.539999999994"/>
    <n v="24"/>
    <n v="94"/>
    <x v="1"/>
    <x v="5"/>
  </r>
  <r>
    <x v="151"/>
    <x v="0"/>
    <x v="1"/>
    <x v="4"/>
    <x v="1"/>
    <n v="16"/>
    <n v="109945.06"/>
    <n v="23"/>
    <n v="76"/>
    <x v="1"/>
    <x v="1"/>
  </r>
  <r>
    <x v="152"/>
    <x v="0"/>
    <x v="1"/>
    <x v="3"/>
    <x v="2"/>
    <n v="3"/>
    <n v="40894.400000000001"/>
    <n v="20"/>
    <n v="46"/>
    <x v="0"/>
    <x v="6"/>
  </r>
  <r>
    <x v="153"/>
    <x v="0"/>
    <x v="1"/>
    <x v="3"/>
    <x v="2"/>
    <n v="28"/>
    <n v="5522.04"/>
    <n v="20"/>
    <n v="95"/>
    <x v="0"/>
    <x v="1"/>
  </r>
  <r>
    <x v="154"/>
    <x v="2"/>
    <x v="3"/>
    <x v="3"/>
    <x v="1"/>
    <n v="38"/>
    <n v="121567.96"/>
    <n v="26"/>
    <n v="65"/>
    <x v="1"/>
    <x v="3"/>
  </r>
  <r>
    <x v="155"/>
    <x v="0"/>
    <x v="3"/>
    <x v="4"/>
    <x v="0"/>
    <n v="2"/>
    <n v="14606.74"/>
    <n v="30"/>
    <n v="75"/>
    <x v="0"/>
    <x v="4"/>
  </r>
  <r>
    <x v="156"/>
    <x v="1"/>
    <x v="2"/>
    <x v="2"/>
    <x v="1"/>
    <n v="6"/>
    <n v="116568.72"/>
    <n v="24"/>
    <n v="65"/>
    <x v="1"/>
    <x v="1"/>
  </r>
  <r>
    <x v="157"/>
    <x v="3"/>
    <x v="1"/>
    <x v="4"/>
    <x v="1"/>
    <n v="33"/>
    <n v="70189.8"/>
    <n v="14"/>
    <n v="88"/>
    <x v="0"/>
    <x v="1"/>
  </r>
  <r>
    <x v="158"/>
    <x v="5"/>
    <x v="1"/>
    <x v="3"/>
    <x v="2"/>
    <n v="28"/>
    <n v="136392.39000000001"/>
    <n v="22"/>
    <n v="77"/>
    <x v="1"/>
    <x v="4"/>
  </r>
  <r>
    <x v="159"/>
    <x v="5"/>
    <x v="3"/>
    <x v="3"/>
    <x v="2"/>
    <n v="56"/>
    <n v="139281.34"/>
    <n v="24"/>
    <n v="96"/>
    <x v="1"/>
    <x v="3"/>
  </r>
  <r>
    <x v="160"/>
    <x v="1"/>
    <x v="0"/>
    <x v="3"/>
    <x v="1"/>
    <n v="80"/>
    <n v="140818.37"/>
    <n v="9"/>
    <n v="42"/>
    <x v="1"/>
    <x v="2"/>
  </r>
  <r>
    <x v="161"/>
    <x v="4"/>
    <x v="3"/>
    <x v="1"/>
    <x v="1"/>
    <n v="74"/>
    <n v="56018.43"/>
    <n v="7"/>
    <n v="77"/>
    <x v="0"/>
    <x v="0"/>
  </r>
  <r>
    <x v="162"/>
    <x v="2"/>
    <x v="3"/>
    <x v="4"/>
    <x v="2"/>
    <n v="72"/>
    <n v="144841.74"/>
    <n v="5"/>
    <n v="57"/>
    <x v="1"/>
    <x v="5"/>
  </r>
  <r>
    <x v="163"/>
    <x v="4"/>
    <x v="0"/>
    <x v="2"/>
    <x v="1"/>
    <n v="14"/>
    <n v="123398.79"/>
    <n v="21"/>
    <n v="77"/>
    <x v="1"/>
    <x v="5"/>
  </r>
  <r>
    <x v="164"/>
    <x v="1"/>
    <x v="3"/>
    <x v="4"/>
    <x v="1"/>
    <n v="48"/>
    <n v="10911.55"/>
    <n v="19"/>
    <n v="47"/>
    <x v="0"/>
    <x v="6"/>
  </r>
  <r>
    <x v="165"/>
    <x v="5"/>
    <x v="1"/>
    <x v="4"/>
    <x v="0"/>
    <n v="87"/>
    <n v="96532.96"/>
    <n v="7"/>
    <n v="93"/>
    <x v="1"/>
    <x v="2"/>
  </r>
  <r>
    <x v="166"/>
    <x v="1"/>
    <x v="3"/>
    <x v="4"/>
    <x v="2"/>
    <n v="49"/>
    <n v="126056.09"/>
    <n v="11"/>
    <n v="78"/>
    <x v="1"/>
    <x v="0"/>
  </r>
  <r>
    <x v="167"/>
    <x v="5"/>
    <x v="3"/>
    <x v="4"/>
    <x v="2"/>
    <n v="42"/>
    <n v="92788.13"/>
    <n v="4"/>
    <n v="41"/>
    <x v="1"/>
    <x v="2"/>
  </r>
  <r>
    <x v="168"/>
    <x v="1"/>
    <x v="0"/>
    <x v="3"/>
    <x v="1"/>
    <n v="36"/>
    <n v="24614.639999999999"/>
    <n v="30"/>
    <n v="57"/>
    <x v="0"/>
    <x v="4"/>
  </r>
  <r>
    <x v="169"/>
    <x v="4"/>
    <x v="0"/>
    <x v="0"/>
    <x v="2"/>
    <n v="56"/>
    <n v="36862.400000000001"/>
    <n v="28"/>
    <n v="66"/>
    <x v="0"/>
    <x v="4"/>
  </r>
  <r>
    <x v="170"/>
    <x v="0"/>
    <x v="1"/>
    <x v="0"/>
    <x v="1"/>
    <n v="39"/>
    <n v="84065.42"/>
    <n v="28"/>
    <n v="50"/>
    <x v="1"/>
    <x v="2"/>
  </r>
  <r>
    <x v="171"/>
    <x v="0"/>
    <x v="3"/>
    <x v="0"/>
    <x v="2"/>
    <n v="42"/>
    <n v="83047.11"/>
    <n v="13"/>
    <n v="50"/>
    <x v="1"/>
    <x v="4"/>
  </r>
  <r>
    <x v="172"/>
    <x v="0"/>
    <x v="0"/>
    <x v="3"/>
    <x v="2"/>
    <n v="59"/>
    <n v="96326.11"/>
    <n v="17"/>
    <n v="82"/>
    <x v="1"/>
    <x v="4"/>
  </r>
  <r>
    <x v="173"/>
    <x v="5"/>
    <x v="3"/>
    <x v="0"/>
    <x v="1"/>
    <n v="67"/>
    <n v="49487.73"/>
    <n v="27"/>
    <n v="72"/>
    <x v="0"/>
    <x v="2"/>
  </r>
  <r>
    <x v="174"/>
    <x v="0"/>
    <x v="3"/>
    <x v="1"/>
    <x v="1"/>
    <n v="11"/>
    <n v="18263.25"/>
    <n v="29"/>
    <n v="83"/>
    <x v="0"/>
    <x v="5"/>
  </r>
  <r>
    <x v="175"/>
    <x v="4"/>
    <x v="2"/>
    <x v="0"/>
    <x v="0"/>
    <n v="3"/>
    <n v="149013.84"/>
    <n v="26"/>
    <n v="93"/>
    <x v="1"/>
    <x v="1"/>
  </r>
  <r>
    <x v="176"/>
    <x v="2"/>
    <x v="1"/>
    <x v="3"/>
    <x v="2"/>
    <n v="69"/>
    <n v="46708.35"/>
    <n v="1"/>
    <n v="88"/>
    <x v="0"/>
    <x v="1"/>
  </r>
  <r>
    <x v="177"/>
    <x v="3"/>
    <x v="0"/>
    <x v="1"/>
    <x v="1"/>
    <n v="54"/>
    <n v="68133.7"/>
    <n v="9"/>
    <n v="60"/>
    <x v="0"/>
    <x v="5"/>
  </r>
  <r>
    <x v="178"/>
    <x v="5"/>
    <x v="2"/>
    <x v="0"/>
    <x v="1"/>
    <n v="82"/>
    <n v="19213.509999999998"/>
    <n v="26"/>
    <n v="96"/>
    <x v="0"/>
    <x v="2"/>
  </r>
  <r>
    <x v="179"/>
    <x v="3"/>
    <x v="3"/>
    <x v="3"/>
    <x v="1"/>
    <n v="60"/>
    <n v="22138.22"/>
    <n v="3"/>
    <n v="96"/>
    <x v="0"/>
    <x v="0"/>
  </r>
  <r>
    <x v="180"/>
    <x v="2"/>
    <x v="1"/>
    <x v="1"/>
    <x v="1"/>
    <n v="65"/>
    <n v="30460.26"/>
    <n v="21"/>
    <n v="63"/>
    <x v="0"/>
    <x v="5"/>
  </r>
  <r>
    <x v="181"/>
    <x v="1"/>
    <x v="2"/>
    <x v="2"/>
    <x v="1"/>
    <n v="5"/>
    <n v="52772.62"/>
    <n v="9"/>
    <n v="62"/>
    <x v="0"/>
    <x v="5"/>
  </r>
  <r>
    <x v="182"/>
    <x v="2"/>
    <x v="2"/>
    <x v="1"/>
    <x v="1"/>
    <n v="54"/>
    <n v="118241.71"/>
    <n v="24"/>
    <n v="81"/>
    <x v="1"/>
    <x v="1"/>
  </r>
  <r>
    <x v="183"/>
    <x v="0"/>
    <x v="1"/>
    <x v="4"/>
    <x v="1"/>
    <n v="64"/>
    <n v="19477.689999999999"/>
    <n v="6"/>
    <n v="65"/>
    <x v="0"/>
    <x v="2"/>
  </r>
  <r>
    <x v="184"/>
    <x v="5"/>
    <x v="2"/>
    <x v="2"/>
    <x v="0"/>
    <n v="77"/>
    <n v="114541.22"/>
    <n v="25"/>
    <n v="69"/>
    <x v="1"/>
    <x v="5"/>
  </r>
  <r>
    <x v="185"/>
    <x v="5"/>
    <x v="0"/>
    <x v="3"/>
    <x v="0"/>
    <n v="72"/>
    <n v="56437.97"/>
    <n v="21"/>
    <n v="78"/>
    <x v="0"/>
    <x v="0"/>
  </r>
  <r>
    <x v="186"/>
    <x v="4"/>
    <x v="1"/>
    <x v="1"/>
    <x v="1"/>
    <n v="86"/>
    <n v="53586.34"/>
    <n v="22"/>
    <n v="96"/>
    <x v="0"/>
    <x v="5"/>
  </r>
  <r>
    <x v="187"/>
    <x v="0"/>
    <x v="3"/>
    <x v="1"/>
    <x v="0"/>
    <n v="62"/>
    <n v="13836.03"/>
    <n v="15"/>
    <n v="60"/>
    <x v="0"/>
    <x v="0"/>
  </r>
  <r>
    <x v="188"/>
    <x v="1"/>
    <x v="2"/>
    <x v="2"/>
    <x v="1"/>
    <n v="38"/>
    <n v="54960.36"/>
    <n v="26"/>
    <n v="61"/>
    <x v="0"/>
    <x v="5"/>
  </r>
  <r>
    <x v="189"/>
    <x v="1"/>
    <x v="1"/>
    <x v="4"/>
    <x v="0"/>
    <n v="70"/>
    <n v="92629.07"/>
    <n v="11"/>
    <n v="96"/>
    <x v="1"/>
    <x v="4"/>
  </r>
  <r>
    <x v="190"/>
    <x v="3"/>
    <x v="3"/>
    <x v="4"/>
    <x v="2"/>
    <n v="52"/>
    <n v="69945.08"/>
    <n v="8"/>
    <n v="80"/>
    <x v="0"/>
    <x v="5"/>
  </r>
  <r>
    <x v="191"/>
    <x v="2"/>
    <x v="1"/>
    <x v="0"/>
    <x v="0"/>
    <n v="62"/>
    <n v="132120.79"/>
    <n v="25"/>
    <n v="81"/>
    <x v="1"/>
    <x v="2"/>
  </r>
  <r>
    <x v="192"/>
    <x v="2"/>
    <x v="1"/>
    <x v="3"/>
    <x v="1"/>
    <n v="22"/>
    <n v="132726.88"/>
    <n v="24"/>
    <n v="54"/>
    <x v="1"/>
    <x v="5"/>
  </r>
  <r>
    <x v="193"/>
    <x v="0"/>
    <x v="1"/>
    <x v="1"/>
    <x v="2"/>
    <n v="70"/>
    <n v="40806.769999999997"/>
    <n v="1"/>
    <n v="51"/>
    <x v="0"/>
    <x v="3"/>
  </r>
  <r>
    <x v="194"/>
    <x v="3"/>
    <x v="3"/>
    <x v="4"/>
    <x v="0"/>
    <n v="33"/>
    <n v="56926.38"/>
    <n v="11"/>
    <n v="81"/>
    <x v="0"/>
    <x v="5"/>
  </r>
  <r>
    <x v="195"/>
    <x v="2"/>
    <x v="1"/>
    <x v="4"/>
    <x v="2"/>
    <n v="1"/>
    <n v="87386.12"/>
    <n v="14"/>
    <n v="63"/>
    <x v="1"/>
    <x v="4"/>
  </r>
  <r>
    <x v="196"/>
    <x v="2"/>
    <x v="2"/>
    <x v="0"/>
    <x v="0"/>
    <n v="8"/>
    <n v="7805.22"/>
    <n v="13"/>
    <n v="91"/>
    <x v="0"/>
    <x v="1"/>
  </r>
  <r>
    <x v="197"/>
    <x v="2"/>
    <x v="0"/>
    <x v="1"/>
    <x v="1"/>
    <n v="90"/>
    <n v="64936.83"/>
    <n v="23"/>
    <n v="51"/>
    <x v="0"/>
    <x v="1"/>
  </r>
  <r>
    <x v="198"/>
    <x v="5"/>
    <x v="3"/>
    <x v="4"/>
    <x v="0"/>
    <n v="21"/>
    <n v="57025.03"/>
    <n v="18"/>
    <n v="50"/>
    <x v="0"/>
    <x v="0"/>
  </r>
  <r>
    <x v="199"/>
    <x v="5"/>
    <x v="3"/>
    <x v="2"/>
    <x v="0"/>
    <n v="39"/>
    <n v="145631.91"/>
    <n v="6"/>
    <n v="49"/>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70CEAA-19C9-4C7D-BE8D-B165A2EACD95}"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E20:F28"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showAll="0"/>
    <pivotField axis="axisRow" showAll="0">
      <items count="8">
        <item x="4"/>
        <item x="1"/>
        <item x="0"/>
        <item x="2"/>
        <item x="5"/>
        <item x="6"/>
        <item x="3"/>
        <item t="default"/>
      </items>
    </pivotField>
  </pivotFields>
  <rowFields count="1">
    <field x="10"/>
  </rowFields>
  <rowItems count="8">
    <i>
      <x/>
    </i>
    <i>
      <x v="1"/>
    </i>
    <i>
      <x v="2"/>
    </i>
    <i>
      <x v="3"/>
    </i>
    <i>
      <x v="4"/>
    </i>
    <i>
      <x v="5"/>
    </i>
    <i>
      <x v="6"/>
    </i>
    <i t="grand">
      <x/>
    </i>
  </rowItems>
  <colItems count="1">
    <i/>
  </colItems>
  <dataFields count="1">
    <dataField name="Sum of Recovery Score" fld="8"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35C772-94F9-4F64-BE6A-BE89AE8B04ED}"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0:C23"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Sum of Recovery Score" fld="8" baseField="0"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B3BC6-E421-4CA0-B65F-BC24109C1D8E}"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Department">
  <location ref="I11:K18"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Average of Recovery Score" fld="8" subtotal="average" baseField="1" baseItem="2"/>
    <dataField name="Min of Recovery Score2" fld="8" subtotal="min" baseField="1" baseItem="2"/>
  </dataFields>
  <formats count="10">
    <format dxfId="693">
      <pivotArea collapsedLevelsAreSubtotals="1" fieldPosition="0">
        <references count="2">
          <reference field="4294967294" count="1" selected="0">
            <x v="1"/>
          </reference>
          <reference field="1" count="1">
            <x v="1"/>
          </reference>
        </references>
      </pivotArea>
    </format>
    <format dxfId="694">
      <pivotArea collapsedLevelsAreSubtotals="1" fieldPosition="0">
        <references count="2">
          <reference field="4294967294" count="1" selected="0">
            <x v="1"/>
          </reference>
          <reference field="1" count="1">
            <x v="2"/>
          </reference>
        </references>
      </pivotArea>
    </format>
    <format dxfId="695">
      <pivotArea collapsedLevelsAreSubtotals="1" fieldPosition="0">
        <references count="2">
          <reference field="4294967294" count="1" selected="0">
            <x v="1"/>
          </reference>
          <reference field="1" count="1">
            <x v="3"/>
          </reference>
        </references>
      </pivotArea>
    </format>
    <format dxfId="696">
      <pivotArea collapsedLevelsAreSubtotals="1" fieldPosition="0">
        <references count="2">
          <reference field="4294967294" count="1" selected="0">
            <x v="1"/>
          </reference>
          <reference field="1" count="1">
            <x v="4"/>
          </reference>
        </references>
      </pivotArea>
    </format>
    <format dxfId="697">
      <pivotArea collapsedLevelsAreSubtotals="1" fieldPosition="0">
        <references count="2">
          <reference field="4294967294" count="1" selected="0">
            <x v="1"/>
          </reference>
          <reference field="1" count="1">
            <x v="5"/>
          </reference>
        </references>
      </pivotArea>
    </format>
    <format dxfId="698">
      <pivotArea collapsedLevelsAreSubtotals="1" fieldPosition="0">
        <references count="2">
          <reference field="4294967294" count="1" selected="0">
            <x v="0"/>
          </reference>
          <reference field="1" count="1">
            <x v="1"/>
          </reference>
        </references>
      </pivotArea>
    </format>
    <format dxfId="699">
      <pivotArea collapsedLevelsAreSubtotals="1" fieldPosition="0">
        <references count="2">
          <reference field="4294967294" count="1" selected="0">
            <x v="0"/>
          </reference>
          <reference field="1" count="1">
            <x v="2"/>
          </reference>
        </references>
      </pivotArea>
    </format>
    <format dxfId="700">
      <pivotArea collapsedLevelsAreSubtotals="1" fieldPosition="0">
        <references count="2">
          <reference field="4294967294" count="1" selected="0">
            <x v="0"/>
          </reference>
          <reference field="1" count="1">
            <x v="3"/>
          </reference>
        </references>
      </pivotArea>
    </format>
    <format dxfId="701">
      <pivotArea collapsedLevelsAreSubtotals="1" fieldPosition="0">
        <references count="2">
          <reference field="4294967294" count="1" selected="0">
            <x v="0"/>
          </reference>
          <reference field="1" count="1">
            <x v="4"/>
          </reference>
        </references>
      </pivotArea>
    </format>
    <format dxfId="702">
      <pivotArea collapsedLevelsAreSubtotals="1" fieldPosition="0">
        <references count="2">
          <reference field="4294967294" count="1" selected="0">
            <x v="0"/>
          </reference>
          <reference field="1" count="1">
            <x v="5"/>
          </reference>
        </references>
      </pivotArea>
    </format>
  </format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216777-95A3-446D-AA0D-5C444B3D53BF}"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I3:J5"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h="1" x="0"/>
        <item x="1"/>
        <item h="1" x="2"/>
        <item t="default"/>
      </items>
    </pivotField>
    <pivotField showAll="0"/>
    <pivotField showAll="0"/>
    <pivotField showAll="0"/>
    <pivotField dataField="1" showAll="0"/>
    <pivotField showAll="0"/>
    <pivotField showAll="0"/>
  </pivotFields>
  <rowFields count="1">
    <field x="4"/>
  </rowFields>
  <rowItems count="2">
    <i>
      <x v="1"/>
    </i>
    <i t="grand">
      <x/>
    </i>
  </rowItems>
  <colItems count="1">
    <i/>
  </colItems>
  <dataFields count="1">
    <dataField name="Sum of Recovery Score" fld="8" baseField="0" baseItem="0"/>
  </dataField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98B27-71A0-409B-8239-246A3D6738CA}"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reatment Type">
  <location ref="F12:G17"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Recovery Score" fld="8"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65B1F-0695-4E99-8A43-17B37EEC79FA}"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octor name">
  <location ref="E3:F9"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Recovery Score" fld="8"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B6EC0A-87CF-4E87-9BF0-977EA10B0BCB}"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dataField="1" showAll="0"/>
    <pivotField showAll="0"/>
    <pivotField showAll="0"/>
    <pivotField showAll="0"/>
    <pivotField showAll="0"/>
    <pivotField showAll="0"/>
  </pivotFields>
  <rowItems count="1">
    <i/>
  </rowItems>
  <colItems count="1">
    <i/>
  </colItems>
  <dataFields count="1">
    <dataField name="Average of Ag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6A5794-B678-41A5-975A-3EF291CEB57D}"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dataField="1" showAll="0"/>
    <pivotField showAll="0"/>
    <pivotField showAll="0"/>
  </pivotFields>
  <rowItems count="1">
    <i/>
  </rowItems>
  <colItems count="1">
    <i/>
  </colItems>
  <dataFields count="1">
    <dataField name="Average of Recovery Scor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BAFF32-9543-4B8F-980E-24B34D0EB9CA}"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dataField="1" showAll="0"/>
    <pivotField showAll="0"/>
    <pivotField showAll="0"/>
    <pivotField showAll="0"/>
  </pivotFields>
  <rowItems count="1">
    <i/>
  </rowItems>
  <colItems count="1">
    <i/>
  </colItems>
  <dataFields count="1">
    <dataField name="Average of Hospital Stay (Day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0D63D7-E989-4987-A595-9C3704DB06B6}"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dataField="1" showAll="0"/>
    <pivotField showAll="0"/>
    <pivotField showAll="0"/>
    <pivotField showAll="0"/>
    <pivotField showAll="0"/>
  </pivotFields>
  <rowItems count="1">
    <i/>
  </rowItems>
  <colItems count="1">
    <i/>
  </colItems>
  <dataFields count="1">
    <dataField name="Average of Treatment Cost" fld="6" subtotal="average" baseField="0" baseItem="0" numFmtId="2"/>
  </dataFields>
  <formats count="1">
    <format dxfId="7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1F09C6-0624-4DAC-9C05-8B1B1439C9FD}"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dataField="1" showAll="0">
      <items count="201">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h="1" x="0"/>
        <item x="1"/>
        <item h="1" x="2"/>
        <item t="default"/>
      </items>
    </pivotField>
    <pivotField showAll="0"/>
    <pivotField showAll="0"/>
    <pivotField showAll="0"/>
    <pivotField showAll="0"/>
    <pivotField showAll="0"/>
    <pivotField showAll="0"/>
  </pivotFields>
  <rowItems count="1">
    <i/>
  </rowItems>
  <colItems count="1">
    <i/>
  </colItems>
  <dataFields count="1">
    <dataField name="Sum of Patient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1E16D4-2624-4F02-B250-64C3AE99DBD4}" autoFormatId="16" applyNumberFormats="0" applyBorderFormats="0" applyFontFormats="0" applyPatternFormats="0" applyAlignmentFormats="0" applyWidthHeightFormats="0">
  <queryTableRefresh nextId="19">
    <queryTableFields count="11">
      <queryTableField id="1" name="Patient ID" tableColumnId="1"/>
      <queryTableField id="2" name="Department" tableColumnId="2"/>
      <queryTableField id="3" name="Treatment Type" tableColumnId="3"/>
      <queryTableField id="4" name="Doctor Name" tableColumnId="4"/>
      <queryTableField id="5" name="Gender" tableColumnId="5"/>
      <queryTableField id="6" name="Age" tableColumnId="6"/>
      <queryTableField id="7" name="Treatment Cost" tableColumnId="7"/>
      <queryTableField id="8" name="Hospital Stay (Days)" tableColumnId="8"/>
      <queryTableField id="9" name="Recovery Score" tableColumnId="9"/>
      <queryTableField id="17" name="Cost Category" tableColumnId="17"/>
      <queryTableField id="18" name="Age Not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5A3BEFB5-94E1-4F9C-AE5D-09812180F8ED}" sourceName="Patient ID">
  <pivotTables>
    <pivotTable tabId="2" name="PivotTable1"/>
  </pivotTables>
  <data>
    <tabular pivotCacheId="1850676841">
      <items count="200">
        <i x="1"/>
        <i x="2"/>
        <i x="14"/>
        <i x="15"/>
        <i x="16"/>
        <i x="17"/>
        <i x="18"/>
        <i x="20"/>
        <i x="21"/>
        <i x="22"/>
        <i x="24"/>
        <i x="25"/>
        <i x="27"/>
        <i x="28"/>
        <i x="30"/>
        <i x="31"/>
        <i x="32"/>
        <i x="37"/>
        <i x="39"/>
        <i x="40"/>
        <i x="41"/>
        <i x="42"/>
        <i x="43"/>
        <i x="46"/>
        <i x="47"/>
        <i x="48"/>
        <i x="49"/>
        <i x="50"/>
        <i x="55"/>
        <i x="56"/>
        <i x="58"/>
        <i x="59"/>
        <i x="61"/>
        <i x="64"/>
        <i x="66"/>
        <i x="71"/>
        <i x="75"/>
        <i x="87"/>
        <i x="88"/>
        <i x="105"/>
        <i x="112"/>
        <i x="115"/>
        <i x="116"/>
        <i x="125"/>
        <i x="126"/>
        <i x="127"/>
        <i x="129"/>
        <i x="131"/>
        <i x="133"/>
        <i x="134"/>
        <i x="138"/>
        <i x="140"/>
        <i x="143"/>
        <i x="144"/>
        <i x="145"/>
        <i x="146"/>
        <i x="149"/>
        <i x="150"/>
        <i x="151"/>
        <i x="154"/>
        <i x="156"/>
        <i x="157"/>
        <i x="160"/>
        <i x="161"/>
        <i x="163"/>
        <i x="164"/>
        <i x="168"/>
        <i x="170"/>
        <i x="173"/>
        <i x="174"/>
        <i x="177"/>
        <i x="178"/>
        <i x="179"/>
        <i x="180"/>
        <i x="181"/>
        <i x="182"/>
        <i x="183"/>
        <i x="186"/>
        <i x="188"/>
        <i x="192"/>
        <i x="197"/>
        <i x="0" nd="1"/>
        <i x="3" nd="1"/>
        <i x="4" nd="1"/>
        <i x="5" s="1" nd="1"/>
        <i x="6" nd="1"/>
        <i x="7" nd="1"/>
        <i x="8" nd="1"/>
        <i x="9" nd="1"/>
        <i x="10" nd="1"/>
        <i x="11" nd="1"/>
        <i x="12" nd="1"/>
        <i x="13" nd="1"/>
        <i x="19" nd="1"/>
        <i x="23" nd="1"/>
        <i x="26" nd="1"/>
        <i x="29" nd="1"/>
        <i x="33" nd="1"/>
        <i x="34" nd="1"/>
        <i x="35" nd="1"/>
        <i x="36" nd="1"/>
        <i x="38" nd="1"/>
        <i x="44" nd="1"/>
        <i x="45" nd="1"/>
        <i x="51" nd="1"/>
        <i x="52" nd="1"/>
        <i x="53" nd="1"/>
        <i x="54" nd="1"/>
        <i x="57" nd="1"/>
        <i x="60" nd="1"/>
        <i x="62" nd="1"/>
        <i x="63" nd="1"/>
        <i x="65" nd="1"/>
        <i x="67" nd="1"/>
        <i x="68" nd="1"/>
        <i x="69" nd="1"/>
        <i x="70" nd="1"/>
        <i x="72" nd="1"/>
        <i x="73" nd="1"/>
        <i x="74" nd="1"/>
        <i x="76" nd="1"/>
        <i x="77" nd="1"/>
        <i x="78" nd="1"/>
        <i x="79" nd="1"/>
        <i x="80" nd="1"/>
        <i x="81" nd="1"/>
        <i x="82" nd="1"/>
        <i x="83" nd="1"/>
        <i x="84" nd="1"/>
        <i x="85" nd="1"/>
        <i x="86" nd="1"/>
        <i x="89" nd="1"/>
        <i x="90" nd="1"/>
        <i x="91" nd="1"/>
        <i x="92" nd="1"/>
        <i x="93" nd="1"/>
        <i x="94" nd="1"/>
        <i x="95" nd="1"/>
        <i x="96" nd="1"/>
        <i x="97" nd="1"/>
        <i x="98" nd="1"/>
        <i x="99" nd="1"/>
        <i x="100" nd="1"/>
        <i x="101" nd="1"/>
        <i x="102" nd="1"/>
        <i x="103" nd="1"/>
        <i x="104" nd="1"/>
        <i x="106" nd="1"/>
        <i x="107" nd="1"/>
        <i x="108" nd="1"/>
        <i x="109" nd="1"/>
        <i x="110" nd="1"/>
        <i x="111" nd="1"/>
        <i x="113" nd="1"/>
        <i x="114" nd="1"/>
        <i x="117" nd="1"/>
        <i x="118" nd="1"/>
        <i x="119" nd="1"/>
        <i x="120" nd="1"/>
        <i x="121" nd="1"/>
        <i x="122" nd="1"/>
        <i x="123" nd="1"/>
        <i x="124" nd="1"/>
        <i x="128" nd="1"/>
        <i x="130" nd="1"/>
        <i x="132" nd="1"/>
        <i x="135" nd="1"/>
        <i x="136" nd="1"/>
        <i x="137" nd="1"/>
        <i x="139" nd="1"/>
        <i x="141" nd="1"/>
        <i x="142" nd="1"/>
        <i x="147" nd="1"/>
        <i x="148" nd="1"/>
        <i x="152" nd="1"/>
        <i x="153" nd="1"/>
        <i x="155" nd="1"/>
        <i x="158" nd="1"/>
        <i x="159" nd="1"/>
        <i x="162" nd="1"/>
        <i x="165" nd="1"/>
        <i x="166" nd="1"/>
        <i x="167" nd="1"/>
        <i x="169" nd="1"/>
        <i x="171" nd="1"/>
        <i x="172" nd="1"/>
        <i x="175" nd="1"/>
        <i x="176" nd="1"/>
        <i x="184" nd="1"/>
        <i x="185" nd="1"/>
        <i x="187" nd="1"/>
        <i x="189" nd="1"/>
        <i x="190" nd="1"/>
        <i x="191" nd="1"/>
        <i x="193" nd="1"/>
        <i x="194" nd="1"/>
        <i x="195" nd="1"/>
        <i x="196" nd="1"/>
        <i x="198" nd="1"/>
        <i x="19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7B26FC5-3F58-49CC-9BAE-B71C72097723}" sourceName="Department">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50676841">
      <items count="6">
        <i x="3" s="1"/>
        <i x="0" s="1"/>
        <i x="4" s="1"/>
        <i x="5"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9237EE74-93EE-44E4-9A3C-224323BA3C67}" sourceName="Treatment Type">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50676841">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AEFC46-7597-41D9-8FA0-C16DBF166E51}" sourceName="Gender">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50676841">
      <items count="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F3D298CC-C1EB-4B92-B9D6-67A865FD4869}" sourceName="Doctor Name">
  <pivotTables>
    <pivotTable tabId="2" name="PivotTable4"/>
    <pivotTable tabId="2" name="PivotTable1"/>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185067684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ID" xr10:uid="{1A6496C5-9661-48F8-8BE8-3E19998AF82E}" cache="Slicer_Patient_ID" caption="Patient ID" rowHeight="234950"/>
  <slicer name="Department" xr10:uid="{74E5846E-8231-4577-A520-8D87563AE3E1}" cache="Slicer_Department" caption="Department" rowHeight="234950"/>
  <slicer name="Treatment Type" xr10:uid="{B4E3C5D3-EB7B-4F49-803A-48BEFC7C908C}" cache="Slicer_Treatment_Type" caption="Treatment Type" rowHeight="234950"/>
  <slicer name="Gender" xr10:uid="{DEE012E8-93DC-4E50-A2D3-6710E140AFB9}" cache="Slicer_Gender" caption="Gender" rowHeight="234950"/>
  <slicer name="Doctor Name" xr10:uid="{809B441C-9302-409E-9646-712AB3B16640}" cache="Slicer_Doctor_Name" caption="Doctor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178F13F-E52D-4727-8C60-1DF542745920}" cache="Slicer_Department" caption="Department" rowHeight="234950"/>
  <slicer name="Treatment Type 1" xr10:uid="{8342D380-BACB-4BB3-BAD6-D2C9E86B14F5}" cache="Slicer_Treatment_Type" caption="Treatment Type" rowHeight="234950"/>
  <slicer name="Gender 1" xr10:uid="{D5CC7D4F-FDEC-4728-81FA-30CC56A11323}" cache="Slicer_Gender" caption="Gender" rowHeight="234950"/>
  <slicer name="Doctor Name 1" xr10:uid="{1428A40B-3337-46AC-BEA9-51947810161A}" cache="Slicer_Doctor_Name" caption="Doctor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A9F8DB-7197-466E-8313-D865ABBA413D}" name="Table1_1" displayName="Table1_1" ref="A1:K201" tableType="queryTable" totalsRowShown="0">
  <autoFilter ref="A1:K201" xr:uid="{84A9F8DB-7197-466E-8313-D865ABBA413D}"/>
  <tableColumns count="11">
    <tableColumn id="1" xr3:uid="{1C16A81B-7F2C-45F0-8BA2-66029800BA3A}" uniqueName="1" name="Patient ID" queryTableFieldId="1" dataDxfId="796"/>
    <tableColumn id="2" xr3:uid="{1F129F92-8FA4-4BFE-B9F9-4BFB601BD554}" uniqueName="2" name="Department" queryTableFieldId="2" dataDxfId="795"/>
    <tableColumn id="3" xr3:uid="{64B2C4C3-BC51-4F70-8EC0-4D62A707BB97}" uniqueName="3" name="Treatment Type" queryTableFieldId="3" dataDxfId="794"/>
    <tableColumn id="4" xr3:uid="{EF7D8312-BE52-46B0-8532-1C66F0F89D2D}" uniqueName="4" name="Doctor Name" queryTableFieldId="4" dataDxfId="793"/>
    <tableColumn id="5" xr3:uid="{BE57C7BE-3A44-448E-AD90-EF87AF3DD909}" uniqueName="5" name="Gender" queryTableFieldId="5" dataDxfId="792"/>
    <tableColumn id="6" xr3:uid="{9280D6C1-D5F9-4A31-81BA-8738F8E6FAF7}" uniqueName="6" name="Age" queryTableFieldId="6"/>
    <tableColumn id="7" xr3:uid="{345772AA-1413-4C69-A747-019A2D0F0286}" uniqueName="7" name="Treatment Cost" queryTableFieldId="7"/>
    <tableColumn id="8" xr3:uid="{F1A1EEF4-7E49-43BC-8836-8F37F1A4B1C2}" uniqueName="8" name="Hospital Stay (Days)" queryTableFieldId="8"/>
    <tableColumn id="9" xr3:uid="{1D98AC9A-117B-4CE3-BA8C-BFD120A79251}" uniqueName="9" name="Recovery Score" queryTableFieldId="9"/>
    <tableColumn id="17" xr3:uid="{06AA4B20-AEBE-4723-83D1-F48FEF45E212}" uniqueName="17" name="Cost Category" queryTableFieldId="17"/>
    <tableColumn id="18" xr3:uid="{E199C3E8-3B47-4383-AC51-C7A920A6067A}" uniqueName="18" name="Age Notes"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AC5919-720F-48C3-938F-4DB7A3F53379}" name="Table1" displayName="Table1" ref="A1:K201" totalsRowShown="0">
  <autoFilter ref="A1:K201" xr:uid="{21AC5919-720F-48C3-938F-4DB7A3F53379}"/>
  <tableColumns count="11">
    <tableColumn id="1" xr3:uid="{F6F74455-2BCB-4A35-821F-09D528949FB3}" name="Patient ID"/>
    <tableColumn id="2" xr3:uid="{6D110C03-2866-424E-ABDB-F96A19925887}" name="Department"/>
    <tableColumn id="3" xr3:uid="{BA7C662F-1D1F-4C96-AA11-3D35BDA2042C}" name="Treatment Type"/>
    <tableColumn id="4" xr3:uid="{EC03ED15-068F-42D6-8D3B-20DC6FCDAF63}" name="Doctor Name"/>
    <tableColumn id="5" xr3:uid="{E491AD8D-EA95-4F8E-8A13-FB5B81DF39D3}" name="Gender"/>
    <tableColumn id="6" xr3:uid="{528E9696-B254-4194-908C-8CBDF3965884}" name="Age"/>
    <tableColumn id="7" xr3:uid="{5C743F18-ADED-476B-BAFD-1C6EC1A32D79}" name="Treatment Cost"/>
    <tableColumn id="8" xr3:uid="{50187B12-3EB0-4073-A6B4-105AF8B48460}" name="Hospital Stay (Days)"/>
    <tableColumn id="9" xr3:uid="{4E2E9D54-9312-45B3-92F9-AB422F9DB714}" name="Recovery Score"/>
    <tableColumn id="10" xr3:uid="{1278D204-DA6E-424E-99DE-AF1AE0FDA3B3}" name="Cost Category" dataDxfId="798">
      <calculatedColumnFormula>IF(Table1[[#This Row],[Treatment Cost]]&gt;75000, "High Cost", "Low Cost")</calculatedColumnFormula>
    </tableColumn>
    <tableColumn id="11" xr3:uid="{E64F657B-72AD-4E6B-BD0C-B383505732EE}" name="Age Group" dataDxfId="797">
      <calculatedColumnFormula>IF(A1&lt;=5,"Infant / Toddler",
IF(F1&lt;=12,"Child",
IF(F1&lt;=19,"Teenager",
IF(F1&lt;=29,"Young Adult",
IF(F1&lt;=44,"Adult",
IF(F1&lt;=59,"Middle-aged",
IF(F1&lt;=74,"Senior","Elderly")))))))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7D39-43EC-418D-899A-1072A9397BFE}">
  <dimension ref="A1:L212"/>
  <sheetViews>
    <sheetView workbookViewId="0">
      <selection activeCell="J1" sqref="J1"/>
    </sheetView>
  </sheetViews>
  <sheetFormatPr defaultRowHeight="14.4" x14ac:dyDescent="0.3"/>
  <cols>
    <col min="1" max="1" width="11.44140625" bestFit="1" customWidth="1"/>
    <col min="2" max="2" width="15.33203125" bestFit="1" customWidth="1"/>
    <col min="3" max="3" width="16.6640625" bestFit="1" customWidth="1"/>
    <col min="4" max="4" width="14.33203125" bestFit="1" customWidth="1"/>
    <col min="5" max="5" width="9.33203125" bestFit="1" customWidth="1"/>
    <col min="6" max="6" width="6.44140625" bestFit="1" customWidth="1"/>
    <col min="7" max="7" width="16.21875" bestFit="1" customWidth="1"/>
    <col min="8" max="8" width="20.109375" bestFit="1" customWidth="1"/>
    <col min="9" max="9" width="16.21875" bestFit="1" customWidth="1"/>
    <col min="10" max="10" width="14.88671875" bestFit="1" customWidth="1"/>
    <col min="11" max="11" width="11.77734375" bestFit="1" customWidth="1"/>
    <col min="12" max="12" width="13.6640625" customWidth="1"/>
  </cols>
  <sheetData>
    <row r="1" spans="1:11" x14ac:dyDescent="0.3">
      <c r="A1" t="s">
        <v>0</v>
      </c>
      <c r="B1" t="s">
        <v>1</v>
      </c>
      <c r="C1" t="s">
        <v>2</v>
      </c>
      <c r="D1" t="s">
        <v>3</v>
      </c>
      <c r="E1" t="s">
        <v>4</v>
      </c>
      <c r="F1" t="s">
        <v>5</v>
      </c>
      <c r="G1" t="s">
        <v>6</v>
      </c>
      <c r="H1" t="s">
        <v>7</v>
      </c>
      <c r="I1" t="s">
        <v>8</v>
      </c>
      <c r="J1" t="s">
        <v>236</v>
      </c>
      <c r="K1" t="s">
        <v>237</v>
      </c>
    </row>
    <row r="2" spans="1:11" x14ac:dyDescent="0.3">
      <c r="A2" s="3" t="s">
        <v>9</v>
      </c>
      <c r="B2" s="3" t="s">
        <v>10</v>
      </c>
      <c r="C2" s="3" t="s">
        <v>11</v>
      </c>
      <c r="D2" s="3" t="s">
        <v>12</v>
      </c>
      <c r="E2" s="3" t="s">
        <v>13</v>
      </c>
      <c r="F2">
        <v>12</v>
      </c>
      <c r="G2">
        <v>68632.97</v>
      </c>
      <c r="H2">
        <v>21</v>
      </c>
      <c r="I2">
        <v>82</v>
      </c>
      <c r="J2" t="s">
        <v>238</v>
      </c>
      <c r="K2" t="s">
        <v>239</v>
      </c>
    </row>
    <row r="3" spans="1:11" x14ac:dyDescent="0.3">
      <c r="A3" s="3" t="s">
        <v>14</v>
      </c>
      <c r="B3" s="3" t="s">
        <v>15</v>
      </c>
      <c r="C3" s="3" t="s">
        <v>16</v>
      </c>
      <c r="D3" s="3" t="s">
        <v>17</v>
      </c>
      <c r="E3" s="3" t="s">
        <v>18</v>
      </c>
      <c r="F3">
        <v>52</v>
      </c>
      <c r="G3">
        <v>10231.42</v>
      </c>
      <c r="H3">
        <v>20</v>
      </c>
      <c r="I3">
        <v>42</v>
      </c>
      <c r="J3" t="s">
        <v>238</v>
      </c>
      <c r="K3" t="s">
        <v>240</v>
      </c>
    </row>
    <row r="4" spans="1:11" x14ac:dyDescent="0.3">
      <c r="A4" s="3" t="s">
        <v>19</v>
      </c>
      <c r="B4" s="3" t="s">
        <v>15</v>
      </c>
      <c r="C4" s="3" t="s">
        <v>11</v>
      </c>
      <c r="D4" s="3" t="s">
        <v>12</v>
      </c>
      <c r="E4" s="3" t="s">
        <v>18</v>
      </c>
      <c r="F4">
        <v>79</v>
      </c>
      <c r="G4">
        <v>10160.24</v>
      </c>
      <c r="H4">
        <v>2</v>
      </c>
      <c r="I4">
        <v>72</v>
      </c>
      <c r="J4" t="s">
        <v>238</v>
      </c>
      <c r="K4" t="s">
        <v>241</v>
      </c>
    </row>
    <row r="5" spans="1:11" x14ac:dyDescent="0.3">
      <c r="A5" s="3" t="s">
        <v>20</v>
      </c>
      <c r="B5" s="3" t="s">
        <v>15</v>
      </c>
      <c r="C5" s="3" t="s">
        <v>11</v>
      </c>
      <c r="D5" s="3" t="s">
        <v>12</v>
      </c>
      <c r="E5" s="3" t="s">
        <v>13</v>
      </c>
      <c r="F5">
        <v>23</v>
      </c>
      <c r="G5">
        <v>103508.96</v>
      </c>
      <c r="H5">
        <v>20</v>
      </c>
      <c r="I5">
        <v>50</v>
      </c>
      <c r="J5" t="s">
        <v>242</v>
      </c>
      <c r="K5" t="s">
        <v>239</v>
      </c>
    </row>
    <row r="6" spans="1:11" x14ac:dyDescent="0.3">
      <c r="A6" s="3" t="s">
        <v>21</v>
      </c>
      <c r="B6" s="3" t="s">
        <v>22</v>
      </c>
      <c r="C6" s="3" t="s">
        <v>16</v>
      </c>
      <c r="D6" s="3" t="s">
        <v>23</v>
      </c>
      <c r="E6" s="3" t="s">
        <v>13</v>
      </c>
      <c r="F6">
        <v>7</v>
      </c>
      <c r="G6">
        <v>143427.51999999999</v>
      </c>
      <c r="H6">
        <v>6</v>
      </c>
      <c r="I6">
        <v>43</v>
      </c>
      <c r="J6" t="s">
        <v>242</v>
      </c>
      <c r="K6" t="s">
        <v>243</v>
      </c>
    </row>
    <row r="7" spans="1:11" x14ac:dyDescent="0.3">
      <c r="A7" s="3" t="s">
        <v>24</v>
      </c>
      <c r="B7" s="3" t="s">
        <v>25</v>
      </c>
      <c r="C7" s="3" t="s">
        <v>16</v>
      </c>
      <c r="D7" s="3" t="s">
        <v>26</v>
      </c>
      <c r="E7" s="3" t="s">
        <v>13</v>
      </c>
      <c r="F7">
        <v>78</v>
      </c>
      <c r="G7">
        <v>146252.19</v>
      </c>
      <c r="H7">
        <v>9</v>
      </c>
      <c r="I7">
        <v>41</v>
      </c>
      <c r="J7" t="s">
        <v>242</v>
      </c>
      <c r="K7" t="s">
        <v>240</v>
      </c>
    </row>
    <row r="8" spans="1:11" x14ac:dyDescent="0.3">
      <c r="A8" s="3" t="s">
        <v>27</v>
      </c>
      <c r="B8" s="3" t="s">
        <v>25</v>
      </c>
      <c r="C8" s="3" t="s">
        <v>28</v>
      </c>
      <c r="D8" s="3" t="s">
        <v>17</v>
      </c>
      <c r="E8" s="3" t="s">
        <v>29</v>
      </c>
      <c r="F8">
        <v>30</v>
      </c>
      <c r="G8">
        <v>54393.48</v>
      </c>
      <c r="H8">
        <v>1</v>
      </c>
      <c r="I8">
        <v>42</v>
      </c>
      <c r="J8" t="s">
        <v>238</v>
      </c>
      <c r="K8" t="s">
        <v>239</v>
      </c>
    </row>
    <row r="9" spans="1:11" x14ac:dyDescent="0.3">
      <c r="A9" s="3" t="s">
        <v>30</v>
      </c>
      <c r="B9" s="3" t="s">
        <v>31</v>
      </c>
      <c r="C9" s="3" t="s">
        <v>28</v>
      </c>
      <c r="D9" s="3" t="s">
        <v>32</v>
      </c>
      <c r="E9" s="3" t="s">
        <v>29</v>
      </c>
      <c r="F9">
        <v>68</v>
      </c>
      <c r="G9">
        <v>30452.22</v>
      </c>
      <c r="H9">
        <v>6</v>
      </c>
      <c r="I9">
        <v>77</v>
      </c>
      <c r="J9" t="s">
        <v>238</v>
      </c>
      <c r="K9" t="s">
        <v>244</v>
      </c>
    </row>
    <row r="10" spans="1:11" x14ac:dyDescent="0.3">
      <c r="A10" s="3" t="s">
        <v>33</v>
      </c>
      <c r="B10" s="3" t="s">
        <v>10</v>
      </c>
      <c r="C10" s="3" t="s">
        <v>28</v>
      </c>
      <c r="D10" s="3" t="s">
        <v>12</v>
      </c>
      <c r="E10" s="3" t="s">
        <v>29</v>
      </c>
      <c r="F10">
        <v>41</v>
      </c>
      <c r="G10">
        <v>79517.25</v>
      </c>
      <c r="H10">
        <v>9</v>
      </c>
      <c r="I10">
        <v>62</v>
      </c>
      <c r="J10" t="s">
        <v>242</v>
      </c>
      <c r="K10" t="s">
        <v>245</v>
      </c>
    </row>
    <row r="11" spans="1:11" x14ac:dyDescent="0.3">
      <c r="A11" s="3" t="s">
        <v>34</v>
      </c>
      <c r="B11" s="3" t="s">
        <v>15</v>
      </c>
      <c r="C11" s="3" t="s">
        <v>16</v>
      </c>
      <c r="D11" s="3" t="s">
        <v>23</v>
      </c>
      <c r="E11" s="3" t="s">
        <v>29</v>
      </c>
      <c r="F11">
        <v>56</v>
      </c>
      <c r="G11">
        <v>116558.38</v>
      </c>
      <c r="H11">
        <v>24</v>
      </c>
      <c r="I11">
        <v>48</v>
      </c>
      <c r="J11" t="s">
        <v>242</v>
      </c>
      <c r="K11" t="s">
        <v>244</v>
      </c>
    </row>
    <row r="12" spans="1:11" x14ac:dyDescent="0.3">
      <c r="A12" s="3" t="s">
        <v>35</v>
      </c>
      <c r="B12" s="3" t="s">
        <v>36</v>
      </c>
      <c r="C12" s="3" t="s">
        <v>16</v>
      </c>
      <c r="D12" s="3" t="s">
        <v>23</v>
      </c>
      <c r="E12" s="3" t="s">
        <v>13</v>
      </c>
      <c r="F12">
        <v>24</v>
      </c>
      <c r="G12">
        <v>135883.74</v>
      </c>
      <c r="H12">
        <v>15</v>
      </c>
      <c r="I12">
        <v>54</v>
      </c>
      <c r="J12" t="s">
        <v>242</v>
      </c>
      <c r="K12" t="s">
        <v>241</v>
      </c>
    </row>
    <row r="13" spans="1:11" x14ac:dyDescent="0.3">
      <c r="A13" s="3" t="s">
        <v>37</v>
      </c>
      <c r="B13" s="3" t="s">
        <v>15</v>
      </c>
      <c r="C13" s="3" t="s">
        <v>28</v>
      </c>
      <c r="D13" s="3" t="s">
        <v>17</v>
      </c>
      <c r="E13" s="3" t="s">
        <v>13</v>
      </c>
      <c r="F13">
        <v>62</v>
      </c>
      <c r="G13">
        <v>148179.98000000001</v>
      </c>
      <c r="H13">
        <v>11</v>
      </c>
      <c r="I13">
        <v>87</v>
      </c>
      <c r="J13" t="s">
        <v>242</v>
      </c>
      <c r="K13" t="s">
        <v>243</v>
      </c>
    </row>
    <row r="14" spans="1:11" x14ac:dyDescent="0.3">
      <c r="A14" s="3" t="s">
        <v>38</v>
      </c>
      <c r="B14" s="3" t="s">
        <v>25</v>
      </c>
      <c r="C14" s="3" t="s">
        <v>28</v>
      </c>
      <c r="D14" s="3" t="s">
        <v>32</v>
      </c>
      <c r="E14" s="3" t="s">
        <v>13</v>
      </c>
      <c r="F14">
        <v>65</v>
      </c>
      <c r="G14">
        <v>20591.650000000001</v>
      </c>
      <c r="H14">
        <v>28</v>
      </c>
      <c r="I14">
        <v>52</v>
      </c>
      <c r="J14" t="s">
        <v>238</v>
      </c>
      <c r="K14" t="s">
        <v>245</v>
      </c>
    </row>
    <row r="15" spans="1:11" x14ac:dyDescent="0.3">
      <c r="A15" s="3" t="s">
        <v>39</v>
      </c>
      <c r="B15" s="3" t="s">
        <v>10</v>
      </c>
      <c r="C15" s="3" t="s">
        <v>28</v>
      </c>
      <c r="D15" s="3" t="s">
        <v>12</v>
      </c>
      <c r="E15" s="3" t="s">
        <v>13</v>
      </c>
      <c r="F15">
        <v>13</v>
      </c>
      <c r="G15">
        <v>59149.07</v>
      </c>
      <c r="H15">
        <v>19</v>
      </c>
      <c r="I15">
        <v>86</v>
      </c>
      <c r="J15" t="s">
        <v>238</v>
      </c>
      <c r="K15" t="s">
        <v>245</v>
      </c>
    </row>
    <row r="16" spans="1:11" x14ac:dyDescent="0.3">
      <c r="A16" s="3" t="s">
        <v>40</v>
      </c>
      <c r="B16" s="3" t="s">
        <v>10</v>
      </c>
      <c r="C16" s="3" t="s">
        <v>41</v>
      </c>
      <c r="D16" s="3" t="s">
        <v>26</v>
      </c>
      <c r="E16" s="3" t="s">
        <v>18</v>
      </c>
      <c r="F16">
        <v>39</v>
      </c>
      <c r="G16">
        <v>59335.72</v>
      </c>
      <c r="H16">
        <v>28</v>
      </c>
      <c r="I16">
        <v>80</v>
      </c>
      <c r="J16" t="s">
        <v>238</v>
      </c>
      <c r="K16" t="s">
        <v>246</v>
      </c>
    </row>
    <row r="17" spans="1:11" x14ac:dyDescent="0.3">
      <c r="A17" s="3" t="s">
        <v>42</v>
      </c>
      <c r="B17" s="3" t="s">
        <v>22</v>
      </c>
      <c r="C17" s="3" t="s">
        <v>16</v>
      </c>
      <c r="D17" s="3" t="s">
        <v>12</v>
      </c>
      <c r="E17" s="3" t="s">
        <v>18</v>
      </c>
      <c r="F17">
        <v>85</v>
      </c>
      <c r="G17">
        <v>101936.34</v>
      </c>
      <c r="H17">
        <v>27</v>
      </c>
      <c r="I17">
        <v>99</v>
      </c>
      <c r="J17" t="s">
        <v>242</v>
      </c>
      <c r="K17" t="s">
        <v>244</v>
      </c>
    </row>
    <row r="18" spans="1:11" x14ac:dyDescent="0.3">
      <c r="A18" s="3" t="s">
        <v>43</v>
      </c>
      <c r="B18" s="3" t="s">
        <v>22</v>
      </c>
      <c r="C18" s="3" t="s">
        <v>41</v>
      </c>
      <c r="D18" s="3" t="s">
        <v>12</v>
      </c>
      <c r="E18" s="3" t="s">
        <v>18</v>
      </c>
      <c r="F18">
        <v>52</v>
      </c>
      <c r="G18">
        <v>107481.12</v>
      </c>
      <c r="H18">
        <v>8</v>
      </c>
      <c r="I18">
        <v>93</v>
      </c>
      <c r="J18" t="s">
        <v>242</v>
      </c>
      <c r="K18" t="s">
        <v>239</v>
      </c>
    </row>
    <row r="19" spans="1:11" x14ac:dyDescent="0.3">
      <c r="A19" s="3" t="s">
        <v>44</v>
      </c>
      <c r="B19" s="3" t="s">
        <v>36</v>
      </c>
      <c r="C19" s="3" t="s">
        <v>11</v>
      </c>
      <c r="D19" s="3" t="s">
        <v>23</v>
      </c>
      <c r="E19" s="3" t="s">
        <v>18</v>
      </c>
      <c r="F19">
        <v>25</v>
      </c>
      <c r="G19">
        <v>142574.53</v>
      </c>
      <c r="H19">
        <v>30</v>
      </c>
      <c r="I19">
        <v>99</v>
      </c>
      <c r="J19" t="s">
        <v>242</v>
      </c>
      <c r="K19" t="s">
        <v>241</v>
      </c>
    </row>
    <row r="20" spans="1:11" x14ac:dyDescent="0.3">
      <c r="A20" s="3" t="s">
        <v>45</v>
      </c>
      <c r="B20" s="3" t="s">
        <v>15</v>
      </c>
      <c r="C20" s="3" t="s">
        <v>41</v>
      </c>
      <c r="D20" s="3" t="s">
        <v>23</v>
      </c>
      <c r="E20" s="3" t="s">
        <v>18</v>
      </c>
      <c r="F20">
        <v>1</v>
      </c>
      <c r="G20">
        <v>43174.44</v>
      </c>
      <c r="H20">
        <v>24</v>
      </c>
      <c r="I20">
        <v>100</v>
      </c>
      <c r="J20" t="s">
        <v>238</v>
      </c>
      <c r="K20" t="s">
        <v>243</v>
      </c>
    </row>
    <row r="21" spans="1:11" x14ac:dyDescent="0.3">
      <c r="A21" s="3" t="s">
        <v>46</v>
      </c>
      <c r="B21" s="3" t="s">
        <v>31</v>
      </c>
      <c r="C21" s="3" t="s">
        <v>16</v>
      </c>
      <c r="D21" s="3" t="s">
        <v>12</v>
      </c>
      <c r="E21" s="3" t="s">
        <v>13</v>
      </c>
      <c r="F21">
        <v>3</v>
      </c>
      <c r="G21">
        <v>125171.58</v>
      </c>
      <c r="H21">
        <v>30</v>
      </c>
      <c r="I21">
        <v>89</v>
      </c>
      <c r="J21" t="s">
        <v>242</v>
      </c>
      <c r="K21" t="s">
        <v>240</v>
      </c>
    </row>
    <row r="22" spans="1:11" x14ac:dyDescent="0.3">
      <c r="A22" s="3" t="s">
        <v>47</v>
      </c>
      <c r="B22" s="3" t="s">
        <v>15</v>
      </c>
      <c r="C22" s="3" t="s">
        <v>11</v>
      </c>
      <c r="D22" s="3" t="s">
        <v>26</v>
      </c>
      <c r="E22" s="3" t="s">
        <v>18</v>
      </c>
      <c r="F22">
        <v>31</v>
      </c>
      <c r="G22">
        <v>51842.34</v>
      </c>
      <c r="H22">
        <v>15</v>
      </c>
      <c r="I22">
        <v>74</v>
      </c>
      <c r="J22" t="s">
        <v>238</v>
      </c>
      <c r="K22" t="s">
        <v>240</v>
      </c>
    </row>
    <row r="23" spans="1:11" x14ac:dyDescent="0.3">
      <c r="A23" s="3" t="s">
        <v>48</v>
      </c>
      <c r="B23" s="3" t="s">
        <v>36</v>
      </c>
      <c r="C23" s="3" t="s">
        <v>11</v>
      </c>
      <c r="D23" s="3" t="s">
        <v>26</v>
      </c>
      <c r="E23" s="3" t="s">
        <v>18</v>
      </c>
      <c r="F23">
        <v>66</v>
      </c>
      <c r="G23">
        <v>30547.73</v>
      </c>
      <c r="H23">
        <v>11</v>
      </c>
      <c r="I23">
        <v>47</v>
      </c>
      <c r="J23" t="s">
        <v>238</v>
      </c>
      <c r="K23" t="s">
        <v>244</v>
      </c>
    </row>
    <row r="24" spans="1:11" x14ac:dyDescent="0.3">
      <c r="A24" s="3" t="s">
        <v>49</v>
      </c>
      <c r="B24" s="3" t="s">
        <v>22</v>
      </c>
      <c r="C24" s="3" t="s">
        <v>11</v>
      </c>
      <c r="D24" s="3" t="s">
        <v>32</v>
      </c>
      <c r="E24" s="3" t="s">
        <v>18</v>
      </c>
      <c r="F24">
        <v>68</v>
      </c>
      <c r="G24">
        <v>68961.679999999993</v>
      </c>
      <c r="H24">
        <v>5</v>
      </c>
      <c r="I24">
        <v>67</v>
      </c>
      <c r="J24" t="s">
        <v>238</v>
      </c>
      <c r="K24" t="s">
        <v>245</v>
      </c>
    </row>
    <row r="25" spans="1:11" x14ac:dyDescent="0.3">
      <c r="A25" s="3" t="s">
        <v>50</v>
      </c>
      <c r="B25" s="3" t="s">
        <v>36</v>
      </c>
      <c r="C25" s="3" t="s">
        <v>11</v>
      </c>
      <c r="D25" s="3" t="s">
        <v>32</v>
      </c>
      <c r="E25" s="3" t="s">
        <v>29</v>
      </c>
      <c r="F25">
        <v>75</v>
      </c>
      <c r="G25">
        <v>89887.05</v>
      </c>
      <c r="H25">
        <v>28</v>
      </c>
      <c r="I25">
        <v>92</v>
      </c>
      <c r="J25" t="s">
        <v>242</v>
      </c>
      <c r="K25" t="s">
        <v>245</v>
      </c>
    </row>
    <row r="26" spans="1:11" x14ac:dyDescent="0.3">
      <c r="A26" s="3" t="s">
        <v>51</v>
      </c>
      <c r="B26" s="3" t="s">
        <v>15</v>
      </c>
      <c r="C26" s="3" t="s">
        <v>16</v>
      </c>
      <c r="D26" s="3" t="s">
        <v>12</v>
      </c>
      <c r="E26" s="3" t="s">
        <v>18</v>
      </c>
      <c r="F26">
        <v>35</v>
      </c>
      <c r="G26">
        <v>54350.5</v>
      </c>
      <c r="H26">
        <v>24</v>
      </c>
      <c r="I26">
        <v>70</v>
      </c>
      <c r="J26" t="s">
        <v>238</v>
      </c>
      <c r="K26" t="s">
        <v>239</v>
      </c>
    </row>
    <row r="27" spans="1:11" x14ac:dyDescent="0.3">
      <c r="A27" s="3" t="s">
        <v>52</v>
      </c>
      <c r="B27" s="3" t="s">
        <v>31</v>
      </c>
      <c r="C27" s="3" t="s">
        <v>11</v>
      </c>
      <c r="D27" s="3" t="s">
        <v>23</v>
      </c>
      <c r="E27" s="3" t="s">
        <v>18</v>
      </c>
      <c r="F27">
        <v>56</v>
      </c>
      <c r="G27">
        <v>47635.12</v>
      </c>
      <c r="H27">
        <v>3</v>
      </c>
      <c r="I27">
        <v>47</v>
      </c>
      <c r="J27" t="s">
        <v>238</v>
      </c>
      <c r="K27" t="s">
        <v>244</v>
      </c>
    </row>
    <row r="28" spans="1:11" x14ac:dyDescent="0.3">
      <c r="A28" s="3" t="s">
        <v>53</v>
      </c>
      <c r="B28" s="3" t="s">
        <v>22</v>
      </c>
      <c r="C28" s="3" t="s">
        <v>41</v>
      </c>
      <c r="D28" s="3" t="s">
        <v>23</v>
      </c>
      <c r="E28" s="3" t="s">
        <v>29</v>
      </c>
      <c r="F28">
        <v>34</v>
      </c>
      <c r="G28">
        <v>136077.99</v>
      </c>
      <c r="H28">
        <v>25</v>
      </c>
      <c r="I28">
        <v>58</v>
      </c>
      <c r="J28" t="s">
        <v>242</v>
      </c>
      <c r="K28" t="s">
        <v>241</v>
      </c>
    </row>
    <row r="29" spans="1:11" x14ac:dyDescent="0.3">
      <c r="A29" s="3" t="s">
        <v>54</v>
      </c>
      <c r="B29" s="3" t="s">
        <v>25</v>
      </c>
      <c r="C29" s="3" t="s">
        <v>11</v>
      </c>
      <c r="D29" s="3" t="s">
        <v>23</v>
      </c>
      <c r="E29" s="3" t="s">
        <v>18</v>
      </c>
      <c r="F29">
        <v>31</v>
      </c>
      <c r="G29">
        <v>103276.56</v>
      </c>
      <c r="H29">
        <v>30</v>
      </c>
      <c r="I29">
        <v>84</v>
      </c>
      <c r="J29" t="s">
        <v>242</v>
      </c>
      <c r="K29" t="s">
        <v>244</v>
      </c>
    </row>
    <row r="30" spans="1:11" x14ac:dyDescent="0.3">
      <c r="A30" s="3" t="s">
        <v>55</v>
      </c>
      <c r="B30" s="3" t="s">
        <v>10</v>
      </c>
      <c r="C30" s="3" t="s">
        <v>41</v>
      </c>
      <c r="D30" s="3" t="s">
        <v>26</v>
      </c>
      <c r="E30" s="3" t="s">
        <v>18</v>
      </c>
      <c r="F30">
        <v>25</v>
      </c>
      <c r="G30">
        <v>38676.85</v>
      </c>
      <c r="H30">
        <v>9</v>
      </c>
      <c r="I30">
        <v>70</v>
      </c>
      <c r="J30" t="s">
        <v>238</v>
      </c>
      <c r="K30" t="s">
        <v>244</v>
      </c>
    </row>
    <row r="31" spans="1:11" x14ac:dyDescent="0.3">
      <c r="A31" s="3" t="s">
        <v>56</v>
      </c>
      <c r="B31" s="3" t="s">
        <v>10</v>
      </c>
      <c r="C31" s="3" t="s">
        <v>41</v>
      </c>
      <c r="D31" s="3" t="s">
        <v>32</v>
      </c>
      <c r="E31" s="3" t="s">
        <v>29</v>
      </c>
      <c r="F31">
        <v>86</v>
      </c>
      <c r="G31">
        <v>35788.22</v>
      </c>
      <c r="H31">
        <v>3</v>
      </c>
      <c r="I31">
        <v>66</v>
      </c>
      <c r="J31" t="s">
        <v>238</v>
      </c>
      <c r="K31" t="s">
        <v>243</v>
      </c>
    </row>
    <row r="32" spans="1:11" x14ac:dyDescent="0.3">
      <c r="A32" s="3" t="s">
        <v>57</v>
      </c>
      <c r="B32" s="3" t="s">
        <v>36</v>
      </c>
      <c r="C32" s="3" t="s">
        <v>16</v>
      </c>
      <c r="D32" s="3" t="s">
        <v>12</v>
      </c>
      <c r="E32" s="3" t="s">
        <v>18</v>
      </c>
      <c r="F32">
        <v>79</v>
      </c>
      <c r="G32">
        <v>140415.63</v>
      </c>
      <c r="H32">
        <v>16</v>
      </c>
      <c r="I32">
        <v>67</v>
      </c>
      <c r="J32" t="s">
        <v>242</v>
      </c>
      <c r="K32" t="s">
        <v>239</v>
      </c>
    </row>
    <row r="33" spans="1:11" x14ac:dyDescent="0.3">
      <c r="A33" s="3" t="s">
        <v>58</v>
      </c>
      <c r="B33" s="3" t="s">
        <v>22</v>
      </c>
      <c r="C33" s="3" t="s">
        <v>41</v>
      </c>
      <c r="D33" s="3" t="s">
        <v>26</v>
      </c>
      <c r="E33" s="3" t="s">
        <v>18</v>
      </c>
      <c r="F33">
        <v>51</v>
      </c>
      <c r="G33">
        <v>143365.82999999999</v>
      </c>
      <c r="H33">
        <v>1</v>
      </c>
      <c r="I33">
        <v>58</v>
      </c>
      <c r="J33" t="s">
        <v>242</v>
      </c>
      <c r="K33" t="s">
        <v>239</v>
      </c>
    </row>
    <row r="34" spans="1:11" x14ac:dyDescent="0.3">
      <c r="A34" s="3" t="s">
        <v>59</v>
      </c>
      <c r="B34" s="3" t="s">
        <v>10</v>
      </c>
      <c r="C34" s="3" t="s">
        <v>16</v>
      </c>
      <c r="D34" s="3" t="s">
        <v>17</v>
      </c>
      <c r="E34" s="3" t="s">
        <v>18</v>
      </c>
      <c r="F34">
        <v>1</v>
      </c>
      <c r="G34">
        <v>101058.07</v>
      </c>
      <c r="H34">
        <v>4</v>
      </c>
      <c r="I34">
        <v>81</v>
      </c>
      <c r="J34" t="s">
        <v>242</v>
      </c>
      <c r="K34" t="s">
        <v>241</v>
      </c>
    </row>
    <row r="35" spans="1:11" x14ac:dyDescent="0.3">
      <c r="A35" s="3" t="s">
        <v>60</v>
      </c>
      <c r="B35" s="3" t="s">
        <v>22</v>
      </c>
      <c r="C35" s="3" t="s">
        <v>11</v>
      </c>
      <c r="D35" s="3" t="s">
        <v>12</v>
      </c>
      <c r="E35" s="3" t="s">
        <v>29</v>
      </c>
      <c r="F35">
        <v>58</v>
      </c>
      <c r="G35">
        <v>41426.04</v>
      </c>
      <c r="H35">
        <v>6</v>
      </c>
      <c r="I35">
        <v>67</v>
      </c>
      <c r="J35" t="s">
        <v>238</v>
      </c>
      <c r="K35" t="s">
        <v>240</v>
      </c>
    </row>
    <row r="36" spans="1:11" x14ac:dyDescent="0.3">
      <c r="A36" s="3" t="s">
        <v>61</v>
      </c>
      <c r="B36" s="3" t="s">
        <v>22</v>
      </c>
      <c r="C36" s="3" t="s">
        <v>28</v>
      </c>
      <c r="D36" s="3" t="s">
        <v>17</v>
      </c>
      <c r="E36" s="3" t="s">
        <v>13</v>
      </c>
      <c r="F36">
        <v>15</v>
      </c>
      <c r="G36">
        <v>131454.59</v>
      </c>
      <c r="H36">
        <v>30</v>
      </c>
      <c r="I36">
        <v>83</v>
      </c>
      <c r="J36" t="s">
        <v>242</v>
      </c>
      <c r="K36" t="s">
        <v>241</v>
      </c>
    </row>
    <row r="37" spans="1:11" x14ac:dyDescent="0.3">
      <c r="A37" s="3" t="s">
        <v>62</v>
      </c>
      <c r="B37" s="3" t="s">
        <v>10</v>
      </c>
      <c r="C37" s="3" t="s">
        <v>16</v>
      </c>
      <c r="D37" s="3" t="s">
        <v>32</v>
      </c>
      <c r="E37" s="3" t="s">
        <v>13</v>
      </c>
      <c r="F37">
        <v>5</v>
      </c>
      <c r="G37">
        <v>48581.36</v>
      </c>
      <c r="H37">
        <v>16</v>
      </c>
      <c r="I37">
        <v>40</v>
      </c>
      <c r="J37" t="s">
        <v>238</v>
      </c>
      <c r="K37" t="s">
        <v>246</v>
      </c>
    </row>
    <row r="38" spans="1:11" x14ac:dyDescent="0.3">
      <c r="A38" s="3" t="s">
        <v>63</v>
      </c>
      <c r="B38" s="3" t="s">
        <v>15</v>
      </c>
      <c r="C38" s="3" t="s">
        <v>11</v>
      </c>
      <c r="D38" s="3" t="s">
        <v>17</v>
      </c>
      <c r="E38" s="3" t="s">
        <v>13</v>
      </c>
      <c r="F38">
        <v>41</v>
      </c>
      <c r="G38">
        <v>143381.07</v>
      </c>
      <c r="H38">
        <v>1</v>
      </c>
      <c r="I38">
        <v>87</v>
      </c>
      <c r="J38" t="s">
        <v>242</v>
      </c>
      <c r="K38" t="s">
        <v>240</v>
      </c>
    </row>
    <row r="39" spans="1:11" x14ac:dyDescent="0.3">
      <c r="A39" s="3" t="s">
        <v>64</v>
      </c>
      <c r="B39" s="3" t="s">
        <v>15</v>
      </c>
      <c r="C39" s="3" t="s">
        <v>11</v>
      </c>
      <c r="D39" s="3" t="s">
        <v>17</v>
      </c>
      <c r="E39" s="3" t="s">
        <v>18</v>
      </c>
      <c r="F39">
        <v>3</v>
      </c>
      <c r="G39">
        <v>50045.440000000002</v>
      </c>
      <c r="H39">
        <v>15</v>
      </c>
      <c r="I39">
        <v>84</v>
      </c>
      <c r="J39" t="s">
        <v>238</v>
      </c>
      <c r="K39" t="s">
        <v>244</v>
      </c>
    </row>
    <row r="40" spans="1:11" x14ac:dyDescent="0.3">
      <c r="A40" s="3" t="s">
        <v>65</v>
      </c>
      <c r="B40" s="3" t="s">
        <v>22</v>
      </c>
      <c r="C40" s="3" t="s">
        <v>11</v>
      </c>
      <c r="D40" s="3" t="s">
        <v>17</v>
      </c>
      <c r="E40" s="3" t="s">
        <v>29</v>
      </c>
      <c r="F40">
        <v>58</v>
      </c>
      <c r="G40">
        <v>86479.95</v>
      </c>
      <c r="H40">
        <v>1</v>
      </c>
      <c r="I40">
        <v>75</v>
      </c>
      <c r="J40" t="s">
        <v>242</v>
      </c>
      <c r="K40" t="s">
        <v>240</v>
      </c>
    </row>
    <row r="41" spans="1:11" x14ac:dyDescent="0.3">
      <c r="A41" s="3" t="s">
        <v>66</v>
      </c>
      <c r="B41" s="3" t="s">
        <v>15</v>
      </c>
      <c r="C41" s="3" t="s">
        <v>41</v>
      </c>
      <c r="D41" s="3" t="s">
        <v>23</v>
      </c>
      <c r="E41" s="3" t="s">
        <v>18</v>
      </c>
      <c r="F41">
        <v>14</v>
      </c>
      <c r="G41">
        <v>9067.3799999999992</v>
      </c>
      <c r="H41">
        <v>28</v>
      </c>
      <c r="I41">
        <v>86</v>
      </c>
      <c r="J41" t="s">
        <v>238</v>
      </c>
      <c r="K41" t="s">
        <v>241</v>
      </c>
    </row>
    <row r="42" spans="1:11" x14ac:dyDescent="0.3">
      <c r="A42" s="3" t="s">
        <v>67</v>
      </c>
      <c r="B42" s="3" t="s">
        <v>15</v>
      </c>
      <c r="C42" s="3" t="s">
        <v>28</v>
      </c>
      <c r="D42" s="3" t="s">
        <v>23</v>
      </c>
      <c r="E42" s="3" t="s">
        <v>18</v>
      </c>
      <c r="F42">
        <v>31</v>
      </c>
      <c r="G42">
        <v>113414.83</v>
      </c>
      <c r="H42">
        <v>8</v>
      </c>
      <c r="I42">
        <v>70</v>
      </c>
      <c r="J42" t="s">
        <v>242</v>
      </c>
      <c r="K42" t="s">
        <v>246</v>
      </c>
    </row>
    <row r="43" spans="1:11" x14ac:dyDescent="0.3">
      <c r="A43" s="3" t="s">
        <v>68</v>
      </c>
      <c r="B43" s="3" t="s">
        <v>31</v>
      </c>
      <c r="C43" s="3" t="s">
        <v>16</v>
      </c>
      <c r="D43" s="3" t="s">
        <v>12</v>
      </c>
      <c r="E43" s="3" t="s">
        <v>18</v>
      </c>
      <c r="F43">
        <v>85</v>
      </c>
      <c r="G43">
        <v>78946.19</v>
      </c>
      <c r="H43">
        <v>3</v>
      </c>
      <c r="I43">
        <v>48</v>
      </c>
      <c r="J43" t="s">
        <v>242</v>
      </c>
      <c r="K43" t="s">
        <v>244</v>
      </c>
    </row>
    <row r="44" spans="1:11" x14ac:dyDescent="0.3">
      <c r="A44" s="3" t="s">
        <v>69</v>
      </c>
      <c r="B44" s="3" t="s">
        <v>10</v>
      </c>
      <c r="C44" s="3" t="s">
        <v>11</v>
      </c>
      <c r="D44" s="3" t="s">
        <v>26</v>
      </c>
      <c r="E44" s="3" t="s">
        <v>18</v>
      </c>
      <c r="F44">
        <v>22</v>
      </c>
      <c r="G44">
        <v>100035.91</v>
      </c>
      <c r="H44">
        <v>29</v>
      </c>
      <c r="I44">
        <v>70</v>
      </c>
      <c r="J44" t="s">
        <v>242</v>
      </c>
      <c r="K44" t="s">
        <v>239</v>
      </c>
    </row>
    <row r="45" spans="1:11" x14ac:dyDescent="0.3">
      <c r="A45" s="3" t="s">
        <v>70</v>
      </c>
      <c r="B45" s="3" t="s">
        <v>15</v>
      </c>
      <c r="C45" s="3" t="s">
        <v>28</v>
      </c>
      <c r="D45" s="3" t="s">
        <v>23</v>
      </c>
      <c r="E45" s="3" t="s">
        <v>18</v>
      </c>
      <c r="F45">
        <v>62</v>
      </c>
      <c r="G45">
        <v>149340.16</v>
      </c>
      <c r="H45">
        <v>18</v>
      </c>
      <c r="I45">
        <v>49</v>
      </c>
      <c r="J45" t="s">
        <v>242</v>
      </c>
      <c r="K45" t="s">
        <v>243</v>
      </c>
    </row>
    <row r="46" spans="1:11" x14ac:dyDescent="0.3">
      <c r="A46" s="3" t="s">
        <v>71</v>
      </c>
      <c r="B46" s="3" t="s">
        <v>10</v>
      </c>
      <c r="C46" s="3" t="s">
        <v>11</v>
      </c>
      <c r="D46" s="3" t="s">
        <v>12</v>
      </c>
      <c r="E46" s="3" t="s">
        <v>13</v>
      </c>
      <c r="F46">
        <v>79</v>
      </c>
      <c r="G46">
        <v>105328.19</v>
      </c>
      <c r="H46">
        <v>26</v>
      </c>
      <c r="I46">
        <v>94</v>
      </c>
      <c r="J46" t="s">
        <v>242</v>
      </c>
      <c r="K46" t="s">
        <v>245</v>
      </c>
    </row>
    <row r="47" spans="1:11" x14ac:dyDescent="0.3">
      <c r="A47" s="3" t="s">
        <v>72</v>
      </c>
      <c r="B47" s="3" t="s">
        <v>10</v>
      </c>
      <c r="C47" s="3" t="s">
        <v>28</v>
      </c>
      <c r="D47" s="3" t="s">
        <v>12</v>
      </c>
      <c r="E47" s="3" t="s">
        <v>29</v>
      </c>
      <c r="F47">
        <v>19</v>
      </c>
      <c r="G47">
        <v>21826.12</v>
      </c>
      <c r="H47">
        <v>17</v>
      </c>
      <c r="I47">
        <v>48</v>
      </c>
      <c r="J47" t="s">
        <v>238</v>
      </c>
      <c r="K47" t="s">
        <v>239</v>
      </c>
    </row>
    <row r="48" spans="1:11" x14ac:dyDescent="0.3">
      <c r="A48" s="3" t="s">
        <v>73</v>
      </c>
      <c r="B48" s="3" t="s">
        <v>36</v>
      </c>
      <c r="C48" s="3" t="s">
        <v>11</v>
      </c>
      <c r="D48" s="3" t="s">
        <v>32</v>
      </c>
      <c r="E48" s="3" t="s">
        <v>18</v>
      </c>
      <c r="F48">
        <v>37</v>
      </c>
      <c r="G48">
        <v>77556.53</v>
      </c>
      <c r="H48">
        <v>24</v>
      </c>
      <c r="I48">
        <v>87</v>
      </c>
      <c r="J48" t="s">
        <v>242</v>
      </c>
      <c r="K48" t="s">
        <v>246</v>
      </c>
    </row>
    <row r="49" spans="1:11" x14ac:dyDescent="0.3">
      <c r="A49" s="3" t="s">
        <v>74</v>
      </c>
      <c r="B49" s="3" t="s">
        <v>36</v>
      </c>
      <c r="C49" s="3" t="s">
        <v>28</v>
      </c>
      <c r="D49" s="3" t="s">
        <v>26</v>
      </c>
      <c r="E49" s="3" t="s">
        <v>18</v>
      </c>
      <c r="F49">
        <v>30</v>
      </c>
      <c r="G49">
        <v>53806.86</v>
      </c>
      <c r="H49">
        <v>21</v>
      </c>
      <c r="I49">
        <v>82</v>
      </c>
      <c r="J49" t="s">
        <v>238</v>
      </c>
      <c r="K49" t="s">
        <v>244</v>
      </c>
    </row>
    <row r="50" spans="1:11" x14ac:dyDescent="0.3">
      <c r="A50" s="3" t="s">
        <v>75</v>
      </c>
      <c r="B50" s="3" t="s">
        <v>15</v>
      </c>
      <c r="C50" s="3" t="s">
        <v>41</v>
      </c>
      <c r="D50" s="3" t="s">
        <v>12</v>
      </c>
      <c r="E50" s="3" t="s">
        <v>18</v>
      </c>
      <c r="F50">
        <v>66</v>
      </c>
      <c r="G50">
        <v>84096.91</v>
      </c>
      <c r="H50">
        <v>18</v>
      </c>
      <c r="I50">
        <v>91</v>
      </c>
      <c r="J50" t="s">
        <v>242</v>
      </c>
      <c r="K50" t="s">
        <v>244</v>
      </c>
    </row>
    <row r="51" spans="1:11" x14ac:dyDescent="0.3">
      <c r="A51" s="3" t="s">
        <v>76</v>
      </c>
      <c r="B51" s="3" t="s">
        <v>10</v>
      </c>
      <c r="C51" s="3" t="s">
        <v>28</v>
      </c>
      <c r="D51" s="3" t="s">
        <v>12</v>
      </c>
      <c r="E51" s="3" t="s">
        <v>18</v>
      </c>
      <c r="F51">
        <v>22</v>
      </c>
      <c r="G51">
        <v>46384.67</v>
      </c>
      <c r="H51">
        <v>3</v>
      </c>
      <c r="I51">
        <v>84</v>
      </c>
      <c r="J51" t="s">
        <v>238</v>
      </c>
      <c r="K51" t="s">
        <v>245</v>
      </c>
    </row>
    <row r="52" spans="1:11" x14ac:dyDescent="0.3">
      <c r="A52" s="3" t="s">
        <v>77</v>
      </c>
      <c r="B52" s="3" t="s">
        <v>10</v>
      </c>
      <c r="C52" s="3" t="s">
        <v>28</v>
      </c>
      <c r="D52" s="3" t="s">
        <v>17</v>
      </c>
      <c r="E52" s="3" t="s">
        <v>18</v>
      </c>
      <c r="F52">
        <v>60</v>
      </c>
      <c r="G52">
        <v>122442.43</v>
      </c>
      <c r="H52">
        <v>6</v>
      </c>
      <c r="I52">
        <v>94</v>
      </c>
      <c r="J52" t="s">
        <v>242</v>
      </c>
      <c r="K52" t="s">
        <v>243</v>
      </c>
    </row>
    <row r="53" spans="1:11" x14ac:dyDescent="0.3">
      <c r="A53" s="3" t="s">
        <v>78</v>
      </c>
      <c r="B53" s="3" t="s">
        <v>31</v>
      </c>
      <c r="C53" s="3" t="s">
        <v>16</v>
      </c>
      <c r="D53" s="3" t="s">
        <v>12</v>
      </c>
      <c r="E53" s="3" t="s">
        <v>29</v>
      </c>
      <c r="F53">
        <v>35</v>
      </c>
      <c r="G53">
        <v>73863.679999999993</v>
      </c>
      <c r="H53">
        <v>17</v>
      </c>
      <c r="I53">
        <v>42</v>
      </c>
      <c r="J53" t="s">
        <v>238</v>
      </c>
      <c r="K53" t="s">
        <v>245</v>
      </c>
    </row>
    <row r="54" spans="1:11" x14ac:dyDescent="0.3">
      <c r="A54" s="3" t="s">
        <v>79</v>
      </c>
      <c r="B54" s="3" t="s">
        <v>22</v>
      </c>
      <c r="C54" s="3" t="s">
        <v>11</v>
      </c>
      <c r="D54" s="3" t="s">
        <v>23</v>
      </c>
      <c r="E54" s="3" t="s">
        <v>13</v>
      </c>
      <c r="F54">
        <v>21</v>
      </c>
      <c r="G54">
        <v>75334.19</v>
      </c>
      <c r="H54">
        <v>23</v>
      </c>
      <c r="I54">
        <v>51</v>
      </c>
      <c r="J54" t="s">
        <v>242</v>
      </c>
      <c r="K54" t="s">
        <v>244</v>
      </c>
    </row>
    <row r="55" spans="1:11" x14ac:dyDescent="0.3">
      <c r="A55" s="3" t="s">
        <v>80</v>
      </c>
      <c r="B55" s="3" t="s">
        <v>31</v>
      </c>
      <c r="C55" s="3" t="s">
        <v>28</v>
      </c>
      <c r="D55" s="3" t="s">
        <v>17</v>
      </c>
      <c r="E55" s="3" t="s">
        <v>29</v>
      </c>
      <c r="F55">
        <v>51</v>
      </c>
      <c r="G55">
        <v>59829.99</v>
      </c>
      <c r="H55">
        <v>2</v>
      </c>
      <c r="I55">
        <v>40</v>
      </c>
      <c r="J55" t="s">
        <v>238</v>
      </c>
      <c r="K55" t="s">
        <v>243</v>
      </c>
    </row>
    <row r="56" spans="1:11" x14ac:dyDescent="0.3">
      <c r="A56" s="3" t="s">
        <v>81</v>
      </c>
      <c r="B56" s="3" t="s">
        <v>31</v>
      </c>
      <c r="C56" s="3" t="s">
        <v>28</v>
      </c>
      <c r="D56" s="3" t="s">
        <v>32</v>
      </c>
      <c r="E56" s="3" t="s">
        <v>13</v>
      </c>
      <c r="F56">
        <v>87</v>
      </c>
      <c r="G56">
        <v>5444.8</v>
      </c>
      <c r="H56">
        <v>5</v>
      </c>
      <c r="I56">
        <v>42</v>
      </c>
      <c r="J56" t="s">
        <v>238</v>
      </c>
      <c r="K56" t="s">
        <v>241</v>
      </c>
    </row>
    <row r="57" spans="1:11" x14ac:dyDescent="0.3">
      <c r="A57" s="3" t="s">
        <v>82</v>
      </c>
      <c r="B57" s="3" t="s">
        <v>25</v>
      </c>
      <c r="C57" s="3" t="s">
        <v>11</v>
      </c>
      <c r="D57" s="3" t="s">
        <v>17</v>
      </c>
      <c r="E57" s="3" t="s">
        <v>18</v>
      </c>
      <c r="F57">
        <v>11</v>
      </c>
      <c r="G57">
        <v>39022.85</v>
      </c>
      <c r="H57">
        <v>8</v>
      </c>
      <c r="I57">
        <v>96</v>
      </c>
      <c r="J57" t="s">
        <v>238</v>
      </c>
      <c r="K57" t="s">
        <v>239</v>
      </c>
    </row>
    <row r="58" spans="1:11" x14ac:dyDescent="0.3">
      <c r="A58" s="3" t="s">
        <v>83</v>
      </c>
      <c r="B58" s="3" t="s">
        <v>15</v>
      </c>
      <c r="C58" s="3" t="s">
        <v>11</v>
      </c>
      <c r="D58" s="3" t="s">
        <v>12</v>
      </c>
      <c r="E58" s="3" t="s">
        <v>18</v>
      </c>
      <c r="F58">
        <v>7</v>
      </c>
      <c r="G58">
        <v>127110.45</v>
      </c>
      <c r="H58">
        <v>30</v>
      </c>
      <c r="I58">
        <v>100</v>
      </c>
      <c r="J58" t="s">
        <v>242</v>
      </c>
      <c r="K58" t="s">
        <v>240</v>
      </c>
    </row>
    <row r="59" spans="1:11" x14ac:dyDescent="0.3">
      <c r="A59" s="3" t="s">
        <v>84</v>
      </c>
      <c r="B59" s="3" t="s">
        <v>25</v>
      </c>
      <c r="C59" s="3" t="s">
        <v>16</v>
      </c>
      <c r="D59" s="3" t="s">
        <v>17</v>
      </c>
      <c r="E59" s="3" t="s">
        <v>29</v>
      </c>
      <c r="F59">
        <v>80</v>
      </c>
      <c r="G59">
        <v>120082.46</v>
      </c>
      <c r="H59">
        <v>16</v>
      </c>
      <c r="I59">
        <v>93</v>
      </c>
      <c r="J59" t="s">
        <v>242</v>
      </c>
      <c r="K59" t="s">
        <v>240</v>
      </c>
    </row>
    <row r="60" spans="1:11" x14ac:dyDescent="0.3">
      <c r="A60" s="3" t="s">
        <v>85</v>
      </c>
      <c r="B60" s="3" t="s">
        <v>15</v>
      </c>
      <c r="C60" s="3" t="s">
        <v>28</v>
      </c>
      <c r="D60" s="3" t="s">
        <v>17</v>
      </c>
      <c r="E60" s="3" t="s">
        <v>18</v>
      </c>
      <c r="F60">
        <v>75</v>
      </c>
      <c r="G60">
        <v>79671.37</v>
      </c>
      <c r="H60">
        <v>30</v>
      </c>
      <c r="I60">
        <v>43</v>
      </c>
      <c r="J60" t="s">
        <v>242</v>
      </c>
      <c r="K60" t="s">
        <v>239</v>
      </c>
    </row>
    <row r="61" spans="1:11" x14ac:dyDescent="0.3">
      <c r="A61" s="3" t="s">
        <v>86</v>
      </c>
      <c r="B61" s="3" t="s">
        <v>10</v>
      </c>
      <c r="C61" s="3" t="s">
        <v>41</v>
      </c>
      <c r="D61" s="3" t="s">
        <v>12</v>
      </c>
      <c r="E61" s="3" t="s">
        <v>18</v>
      </c>
      <c r="F61">
        <v>7</v>
      </c>
      <c r="G61">
        <v>66277.52</v>
      </c>
      <c r="H61">
        <v>26</v>
      </c>
      <c r="I61">
        <v>69</v>
      </c>
      <c r="J61" t="s">
        <v>238</v>
      </c>
      <c r="K61" t="s">
        <v>239</v>
      </c>
    </row>
    <row r="62" spans="1:11" x14ac:dyDescent="0.3">
      <c r="A62" s="3" t="s">
        <v>87</v>
      </c>
      <c r="B62" s="3" t="s">
        <v>22</v>
      </c>
      <c r="C62" s="3" t="s">
        <v>11</v>
      </c>
      <c r="D62" s="3" t="s">
        <v>32</v>
      </c>
      <c r="E62" s="3" t="s">
        <v>13</v>
      </c>
      <c r="F62">
        <v>14</v>
      </c>
      <c r="G62">
        <v>12241.3</v>
      </c>
      <c r="H62">
        <v>20</v>
      </c>
      <c r="I62">
        <v>40</v>
      </c>
      <c r="J62" t="s">
        <v>238</v>
      </c>
      <c r="K62" t="s">
        <v>240</v>
      </c>
    </row>
    <row r="63" spans="1:11" x14ac:dyDescent="0.3">
      <c r="A63" s="3" t="s">
        <v>88</v>
      </c>
      <c r="B63" s="3" t="s">
        <v>36</v>
      </c>
      <c r="C63" s="3" t="s">
        <v>28</v>
      </c>
      <c r="D63" s="3" t="s">
        <v>17</v>
      </c>
      <c r="E63" s="3" t="s">
        <v>18</v>
      </c>
      <c r="F63">
        <v>22</v>
      </c>
      <c r="G63">
        <v>133882.43</v>
      </c>
      <c r="H63">
        <v>29</v>
      </c>
      <c r="I63">
        <v>63</v>
      </c>
      <c r="J63" t="s">
        <v>242</v>
      </c>
      <c r="K63" t="s">
        <v>246</v>
      </c>
    </row>
    <row r="64" spans="1:11" x14ac:dyDescent="0.3">
      <c r="A64" s="3" t="s">
        <v>89</v>
      </c>
      <c r="B64" s="3" t="s">
        <v>25</v>
      </c>
      <c r="C64" s="3" t="s">
        <v>41</v>
      </c>
      <c r="D64" s="3" t="s">
        <v>12</v>
      </c>
      <c r="E64" s="3" t="s">
        <v>29</v>
      </c>
      <c r="F64">
        <v>73</v>
      </c>
      <c r="G64">
        <v>148488.95000000001</v>
      </c>
      <c r="H64">
        <v>22</v>
      </c>
      <c r="I64">
        <v>77</v>
      </c>
      <c r="J64" t="s">
        <v>242</v>
      </c>
      <c r="K64" t="s">
        <v>243</v>
      </c>
    </row>
    <row r="65" spans="1:11" x14ac:dyDescent="0.3">
      <c r="A65" s="3" t="s">
        <v>90</v>
      </c>
      <c r="B65" s="3" t="s">
        <v>31</v>
      </c>
      <c r="C65" s="3" t="s">
        <v>16</v>
      </c>
      <c r="D65" s="3" t="s">
        <v>12</v>
      </c>
      <c r="E65" s="3" t="s">
        <v>29</v>
      </c>
      <c r="F65">
        <v>5</v>
      </c>
      <c r="G65">
        <v>74239.37</v>
      </c>
      <c r="H65">
        <v>7</v>
      </c>
      <c r="I65">
        <v>61</v>
      </c>
      <c r="J65" t="s">
        <v>238</v>
      </c>
      <c r="K65" t="s">
        <v>245</v>
      </c>
    </row>
    <row r="66" spans="1:11" x14ac:dyDescent="0.3">
      <c r="A66" s="3" t="s">
        <v>91</v>
      </c>
      <c r="B66" s="3" t="s">
        <v>22</v>
      </c>
      <c r="C66" s="3" t="s">
        <v>16</v>
      </c>
      <c r="D66" s="3" t="s">
        <v>32</v>
      </c>
      <c r="E66" s="3" t="s">
        <v>18</v>
      </c>
      <c r="F66">
        <v>6</v>
      </c>
      <c r="G66">
        <v>98732.94</v>
      </c>
      <c r="H66">
        <v>25</v>
      </c>
      <c r="I66">
        <v>45</v>
      </c>
      <c r="J66" t="s">
        <v>242</v>
      </c>
      <c r="K66" t="s">
        <v>240</v>
      </c>
    </row>
    <row r="67" spans="1:11" x14ac:dyDescent="0.3">
      <c r="A67" s="3" t="s">
        <v>92</v>
      </c>
      <c r="B67" s="3" t="s">
        <v>10</v>
      </c>
      <c r="C67" s="3" t="s">
        <v>11</v>
      </c>
      <c r="D67" s="3" t="s">
        <v>23</v>
      </c>
      <c r="E67" s="3" t="s">
        <v>13</v>
      </c>
      <c r="F67">
        <v>4</v>
      </c>
      <c r="G67">
        <v>66339.33</v>
      </c>
      <c r="H67">
        <v>5</v>
      </c>
      <c r="I67">
        <v>77</v>
      </c>
      <c r="J67" t="s">
        <v>238</v>
      </c>
      <c r="K67" t="s">
        <v>240</v>
      </c>
    </row>
    <row r="68" spans="1:11" x14ac:dyDescent="0.3">
      <c r="A68" s="3" t="s">
        <v>93</v>
      </c>
      <c r="B68" s="3" t="s">
        <v>10</v>
      </c>
      <c r="C68" s="3" t="s">
        <v>16</v>
      </c>
      <c r="D68" s="3" t="s">
        <v>32</v>
      </c>
      <c r="E68" s="3" t="s">
        <v>18</v>
      </c>
      <c r="F68">
        <v>14</v>
      </c>
      <c r="G68">
        <v>113363.27</v>
      </c>
      <c r="H68">
        <v>9</v>
      </c>
      <c r="I68">
        <v>74</v>
      </c>
      <c r="J68" t="s">
        <v>242</v>
      </c>
      <c r="K68" t="s">
        <v>240</v>
      </c>
    </row>
    <row r="69" spans="1:11" x14ac:dyDescent="0.3">
      <c r="A69" s="3" t="s">
        <v>94</v>
      </c>
      <c r="B69" s="3" t="s">
        <v>10</v>
      </c>
      <c r="C69" s="3" t="s">
        <v>16</v>
      </c>
      <c r="D69" s="3" t="s">
        <v>32</v>
      </c>
      <c r="E69" s="3" t="s">
        <v>13</v>
      </c>
      <c r="F69">
        <v>11</v>
      </c>
      <c r="G69">
        <v>24492.09</v>
      </c>
      <c r="H69">
        <v>8</v>
      </c>
      <c r="I69">
        <v>58</v>
      </c>
      <c r="J69" t="s">
        <v>238</v>
      </c>
      <c r="K69" t="s">
        <v>246</v>
      </c>
    </row>
    <row r="70" spans="1:11" x14ac:dyDescent="0.3">
      <c r="A70" s="3" t="s">
        <v>95</v>
      </c>
      <c r="B70" s="3" t="s">
        <v>25</v>
      </c>
      <c r="C70" s="3" t="s">
        <v>16</v>
      </c>
      <c r="D70" s="3" t="s">
        <v>32</v>
      </c>
      <c r="E70" s="3" t="s">
        <v>13</v>
      </c>
      <c r="F70">
        <v>19</v>
      </c>
      <c r="G70">
        <v>42080.85</v>
      </c>
      <c r="H70">
        <v>29</v>
      </c>
      <c r="I70">
        <v>65</v>
      </c>
      <c r="J70" t="s">
        <v>238</v>
      </c>
      <c r="K70" t="s">
        <v>240</v>
      </c>
    </row>
    <row r="71" spans="1:11" x14ac:dyDescent="0.3">
      <c r="A71" s="3" t="s">
        <v>96</v>
      </c>
      <c r="B71" s="3" t="s">
        <v>31</v>
      </c>
      <c r="C71" s="3" t="s">
        <v>16</v>
      </c>
      <c r="D71" s="3" t="s">
        <v>23</v>
      </c>
      <c r="E71" s="3" t="s">
        <v>29</v>
      </c>
      <c r="F71">
        <v>56</v>
      </c>
      <c r="G71">
        <v>147658.16</v>
      </c>
      <c r="H71">
        <v>11</v>
      </c>
      <c r="I71">
        <v>96</v>
      </c>
      <c r="J71" t="s">
        <v>242</v>
      </c>
      <c r="K71" t="s">
        <v>246</v>
      </c>
    </row>
    <row r="72" spans="1:11" x14ac:dyDescent="0.3">
      <c r="A72" s="3" t="s">
        <v>97</v>
      </c>
      <c r="B72" s="3" t="s">
        <v>22</v>
      </c>
      <c r="C72" s="3" t="s">
        <v>16</v>
      </c>
      <c r="D72" s="3" t="s">
        <v>12</v>
      </c>
      <c r="E72" s="3" t="s">
        <v>13</v>
      </c>
      <c r="F72">
        <v>40</v>
      </c>
      <c r="G72">
        <v>79386.600000000006</v>
      </c>
      <c r="H72">
        <v>21</v>
      </c>
      <c r="I72">
        <v>67</v>
      </c>
      <c r="J72" t="s">
        <v>242</v>
      </c>
      <c r="K72" t="s">
        <v>241</v>
      </c>
    </row>
    <row r="73" spans="1:11" x14ac:dyDescent="0.3">
      <c r="A73" s="3" t="s">
        <v>98</v>
      </c>
      <c r="B73" s="3" t="s">
        <v>36</v>
      </c>
      <c r="C73" s="3" t="s">
        <v>41</v>
      </c>
      <c r="D73" s="3" t="s">
        <v>17</v>
      </c>
      <c r="E73" s="3" t="s">
        <v>18</v>
      </c>
      <c r="F73">
        <v>6</v>
      </c>
      <c r="G73">
        <v>22175.37</v>
      </c>
      <c r="H73">
        <v>17</v>
      </c>
      <c r="I73">
        <v>82</v>
      </c>
      <c r="J73" t="s">
        <v>238</v>
      </c>
      <c r="K73" t="s">
        <v>244</v>
      </c>
    </row>
    <row r="74" spans="1:11" x14ac:dyDescent="0.3">
      <c r="A74" s="3" t="s">
        <v>99</v>
      </c>
      <c r="B74" s="3" t="s">
        <v>31</v>
      </c>
      <c r="C74" s="3" t="s">
        <v>28</v>
      </c>
      <c r="D74" s="3" t="s">
        <v>12</v>
      </c>
      <c r="E74" s="3" t="s">
        <v>29</v>
      </c>
      <c r="F74">
        <v>62</v>
      </c>
      <c r="G74">
        <v>16296.15</v>
      </c>
      <c r="H74">
        <v>28</v>
      </c>
      <c r="I74">
        <v>63</v>
      </c>
      <c r="J74" t="s">
        <v>238</v>
      </c>
      <c r="K74" t="s">
        <v>240</v>
      </c>
    </row>
    <row r="75" spans="1:11" x14ac:dyDescent="0.3">
      <c r="A75" s="3" t="s">
        <v>100</v>
      </c>
      <c r="B75" s="3" t="s">
        <v>31</v>
      </c>
      <c r="C75" s="3" t="s">
        <v>41</v>
      </c>
      <c r="D75" s="3" t="s">
        <v>12</v>
      </c>
      <c r="E75" s="3" t="s">
        <v>29</v>
      </c>
      <c r="F75">
        <v>56</v>
      </c>
      <c r="G75">
        <v>120488.57</v>
      </c>
      <c r="H75">
        <v>30</v>
      </c>
      <c r="I75">
        <v>48</v>
      </c>
      <c r="J75" t="s">
        <v>242</v>
      </c>
      <c r="K75" t="s">
        <v>245</v>
      </c>
    </row>
    <row r="76" spans="1:11" x14ac:dyDescent="0.3">
      <c r="A76" s="3" t="s">
        <v>101</v>
      </c>
      <c r="B76" s="3" t="s">
        <v>22</v>
      </c>
      <c r="C76" s="3" t="s">
        <v>28</v>
      </c>
      <c r="D76" s="3" t="s">
        <v>12</v>
      </c>
      <c r="E76" s="3" t="s">
        <v>13</v>
      </c>
      <c r="F76">
        <v>8</v>
      </c>
      <c r="G76">
        <v>111873.66</v>
      </c>
      <c r="H76">
        <v>16</v>
      </c>
      <c r="I76">
        <v>74</v>
      </c>
      <c r="J76" t="s">
        <v>242</v>
      </c>
      <c r="K76" t="s">
        <v>241</v>
      </c>
    </row>
    <row r="77" spans="1:11" x14ac:dyDescent="0.3">
      <c r="A77" s="3" t="s">
        <v>102</v>
      </c>
      <c r="B77" s="3" t="s">
        <v>22</v>
      </c>
      <c r="C77" s="3" t="s">
        <v>16</v>
      </c>
      <c r="D77" s="3" t="s">
        <v>23</v>
      </c>
      <c r="E77" s="3" t="s">
        <v>18</v>
      </c>
      <c r="F77">
        <v>62</v>
      </c>
      <c r="G77">
        <v>27610.65</v>
      </c>
      <c r="H77">
        <v>26</v>
      </c>
      <c r="I77">
        <v>72</v>
      </c>
      <c r="J77" t="s">
        <v>238</v>
      </c>
      <c r="K77" t="s">
        <v>240</v>
      </c>
    </row>
    <row r="78" spans="1:11" x14ac:dyDescent="0.3">
      <c r="A78" s="3" t="s">
        <v>103</v>
      </c>
      <c r="B78" s="3" t="s">
        <v>22</v>
      </c>
      <c r="C78" s="3" t="s">
        <v>41</v>
      </c>
      <c r="D78" s="3" t="s">
        <v>32</v>
      </c>
      <c r="E78" s="3" t="s">
        <v>29</v>
      </c>
      <c r="F78">
        <v>17</v>
      </c>
      <c r="G78">
        <v>142458.98000000001</v>
      </c>
      <c r="H78">
        <v>6</v>
      </c>
      <c r="I78">
        <v>69</v>
      </c>
      <c r="J78" t="s">
        <v>242</v>
      </c>
      <c r="K78" t="s">
        <v>245</v>
      </c>
    </row>
    <row r="79" spans="1:11" x14ac:dyDescent="0.3">
      <c r="A79" s="3" t="s">
        <v>104</v>
      </c>
      <c r="B79" s="3" t="s">
        <v>22</v>
      </c>
      <c r="C79" s="3" t="s">
        <v>11</v>
      </c>
      <c r="D79" s="3" t="s">
        <v>23</v>
      </c>
      <c r="E79" s="3" t="s">
        <v>29</v>
      </c>
      <c r="F79">
        <v>7</v>
      </c>
      <c r="G79">
        <v>23799.83</v>
      </c>
      <c r="H79">
        <v>26</v>
      </c>
      <c r="I79">
        <v>52</v>
      </c>
      <c r="J79" t="s">
        <v>238</v>
      </c>
      <c r="K79" t="s">
        <v>246</v>
      </c>
    </row>
    <row r="80" spans="1:11" x14ac:dyDescent="0.3">
      <c r="A80" s="3" t="s">
        <v>105</v>
      </c>
      <c r="B80" s="3" t="s">
        <v>36</v>
      </c>
      <c r="C80" s="3" t="s">
        <v>41</v>
      </c>
      <c r="D80" s="3" t="s">
        <v>12</v>
      </c>
      <c r="E80" s="3" t="s">
        <v>29</v>
      </c>
      <c r="F80">
        <v>49</v>
      </c>
      <c r="G80">
        <v>117019.47</v>
      </c>
      <c r="H80">
        <v>28</v>
      </c>
      <c r="I80">
        <v>63</v>
      </c>
      <c r="J80" t="s">
        <v>242</v>
      </c>
      <c r="K80" t="s">
        <v>240</v>
      </c>
    </row>
    <row r="81" spans="1:11" x14ac:dyDescent="0.3">
      <c r="A81" s="3" t="s">
        <v>106</v>
      </c>
      <c r="B81" s="3" t="s">
        <v>36</v>
      </c>
      <c r="C81" s="3" t="s">
        <v>11</v>
      </c>
      <c r="D81" s="3" t="s">
        <v>32</v>
      </c>
      <c r="E81" s="3" t="s">
        <v>29</v>
      </c>
      <c r="F81">
        <v>12</v>
      </c>
      <c r="G81">
        <v>69472.05</v>
      </c>
      <c r="H81">
        <v>11</v>
      </c>
      <c r="I81">
        <v>68</v>
      </c>
      <c r="J81" t="s">
        <v>238</v>
      </c>
      <c r="K81" t="s">
        <v>241</v>
      </c>
    </row>
    <row r="82" spans="1:11" x14ac:dyDescent="0.3">
      <c r="A82" s="3" t="s">
        <v>107</v>
      </c>
      <c r="B82" s="3" t="s">
        <v>25</v>
      </c>
      <c r="C82" s="3" t="s">
        <v>11</v>
      </c>
      <c r="D82" s="3" t="s">
        <v>32</v>
      </c>
      <c r="E82" s="3" t="s">
        <v>13</v>
      </c>
      <c r="F82">
        <v>5</v>
      </c>
      <c r="G82">
        <v>64103.040000000001</v>
      </c>
      <c r="H82">
        <v>14</v>
      </c>
      <c r="I82">
        <v>42</v>
      </c>
      <c r="J82" t="s">
        <v>238</v>
      </c>
      <c r="K82" t="s">
        <v>240</v>
      </c>
    </row>
    <row r="83" spans="1:11" x14ac:dyDescent="0.3">
      <c r="A83" s="3" t="s">
        <v>108</v>
      </c>
      <c r="B83" s="3" t="s">
        <v>22</v>
      </c>
      <c r="C83" s="3" t="s">
        <v>11</v>
      </c>
      <c r="D83" s="3" t="s">
        <v>12</v>
      </c>
      <c r="E83" s="3" t="s">
        <v>29</v>
      </c>
      <c r="F83">
        <v>13</v>
      </c>
      <c r="G83">
        <v>137441.75</v>
      </c>
      <c r="H83">
        <v>23</v>
      </c>
      <c r="I83">
        <v>74</v>
      </c>
      <c r="J83" t="s">
        <v>242</v>
      </c>
      <c r="K83" t="s">
        <v>240</v>
      </c>
    </row>
    <row r="84" spans="1:11" x14ac:dyDescent="0.3">
      <c r="A84" s="3" t="s">
        <v>109</v>
      </c>
      <c r="B84" s="3" t="s">
        <v>25</v>
      </c>
      <c r="C84" s="3" t="s">
        <v>11</v>
      </c>
      <c r="D84" s="3" t="s">
        <v>23</v>
      </c>
      <c r="E84" s="3" t="s">
        <v>13</v>
      </c>
      <c r="F84">
        <v>71</v>
      </c>
      <c r="G84">
        <v>11066.61</v>
      </c>
      <c r="H84">
        <v>17</v>
      </c>
      <c r="I84">
        <v>86</v>
      </c>
      <c r="J84" t="s">
        <v>238</v>
      </c>
      <c r="K84" t="s">
        <v>246</v>
      </c>
    </row>
    <row r="85" spans="1:11" x14ac:dyDescent="0.3">
      <c r="A85" s="3" t="s">
        <v>110</v>
      </c>
      <c r="B85" s="3" t="s">
        <v>31</v>
      </c>
      <c r="C85" s="3" t="s">
        <v>16</v>
      </c>
      <c r="D85" s="3" t="s">
        <v>26</v>
      </c>
      <c r="E85" s="3" t="s">
        <v>13</v>
      </c>
      <c r="F85">
        <v>87</v>
      </c>
      <c r="G85">
        <v>36726.76</v>
      </c>
      <c r="H85">
        <v>4</v>
      </c>
      <c r="I85">
        <v>53</v>
      </c>
      <c r="J85" t="s">
        <v>238</v>
      </c>
      <c r="K85" t="s">
        <v>245</v>
      </c>
    </row>
    <row r="86" spans="1:11" x14ac:dyDescent="0.3">
      <c r="A86" s="3" t="s">
        <v>111</v>
      </c>
      <c r="B86" s="3" t="s">
        <v>15</v>
      </c>
      <c r="C86" s="3" t="s">
        <v>16</v>
      </c>
      <c r="D86" s="3" t="s">
        <v>17</v>
      </c>
      <c r="E86" s="3" t="s">
        <v>29</v>
      </c>
      <c r="F86">
        <v>40</v>
      </c>
      <c r="G86">
        <v>19717.900000000001</v>
      </c>
      <c r="H86">
        <v>20</v>
      </c>
      <c r="I86">
        <v>63</v>
      </c>
      <c r="J86" t="s">
        <v>238</v>
      </c>
      <c r="K86" t="s">
        <v>239</v>
      </c>
    </row>
    <row r="87" spans="1:11" x14ac:dyDescent="0.3">
      <c r="A87" s="3" t="s">
        <v>112</v>
      </c>
      <c r="B87" s="3" t="s">
        <v>36</v>
      </c>
      <c r="C87" s="3" t="s">
        <v>16</v>
      </c>
      <c r="D87" s="3" t="s">
        <v>26</v>
      </c>
      <c r="E87" s="3" t="s">
        <v>29</v>
      </c>
      <c r="F87">
        <v>63</v>
      </c>
      <c r="G87">
        <v>82657.039999999994</v>
      </c>
      <c r="H87">
        <v>4</v>
      </c>
      <c r="I87">
        <v>55</v>
      </c>
      <c r="J87" t="s">
        <v>242</v>
      </c>
      <c r="K87" t="s">
        <v>244</v>
      </c>
    </row>
    <row r="88" spans="1:11" x14ac:dyDescent="0.3">
      <c r="A88" s="3" t="s">
        <v>113</v>
      </c>
      <c r="B88" s="3" t="s">
        <v>15</v>
      </c>
      <c r="C88" s="3" t="s">
        <v>16</v>
      </c>
      <c r="D88" s="3" t="s">
        <v>17</v>
      </c>
      <c r="E88" s="3" t="s">
        <v>29</v>
      </c>
      <c r="F88">
        <v>1</v>
      </c>
      <c r="G88">
        <v>16874.009999999998</v>
      </c>
      <c r="H88">
        <v>14</v>
      </c>
      <c r="I88">
        <v>76</v>
      </c>
      <c r="J88" t="s">
        <v>238</v>
      </c>
      <c r="K88" t="s">
        <v>245</v>
      </c>
    </row>
    <row r="89" spans="1:11" x14ac:dyDescent="0.3">
      <c r="A89" s="3" t="s">
        <v>114</v>
      </c>
      <c r="B89" s="3" t="s">
        <v>15</v>
      </c>
      <c r="C89" s="3" t="s">
        <v>41</v>
      </c>
      <c r="D89" s="3" t="s">
        <v>12</v>
      </c>
      <c r="E89" s="3" t="s">
        <v>18</v>
      </c>
      <c r="F89">
        <v>37</v>
      </c>
      <c r="G89">
        <v>8578.83</v>
      </c>
      <c r="H89">
        <v>2</v>
      </c>
      <c r="I89">
        <v>90</v>
      </c>
      <c r="J89" t="s">
        <v>238</v>
      </c>
      <c r="K89" t="s">
        <v>240</v>
      </c>
    </row>
    <row r="90" spans="1:11" x14ac:dyDescent="0.3">
      <c r="A90" s="3" t="s">
        <v>115</v>
      </c>
      <c r="B90" s="3" t="s">
        <v>36</v>
      </c>
      <c r="C90" s="3" t="s">
        <v>11</v>
      </c>
      <c r="D90" s="3" t="s">
        <v>17</v>
      </c>
      <c r="E90" s="3" t="s">
        <v>18</v>
      </c>
      <c r="F90">
        <v>7</v>
      </c>
      <c r="G90">
        <v>22311.39</v>
      </c>
      <c r="H90">
        <v>14</v>
      </c>
      <c r="I90">
        <v>86</v>
      </c>
      <c r="J90" t="s">
        <v>238</v>
      </c>
      <c r="K90" t="s">
        <v>244</v>
      </c>
    </row>
    <row r="91" spans="1:11" x14ac:dyDescent="0.3">
      <c r="A91" s="3" t="s">
        <v>116</v>
      </c>
      <c r="B91" s="3" t="s">
        <v>25</v>
      </c>
      <c r="C91" s="3" t="s">
        <v>41</v>
      </c>
      <c r="D91" s="3" t="s">
        <v>12</v>
      </c>
      <c r="E91" s="3" t="s">
        <v>29</v>
      </c>
      <c r="F91">
        <v>46</v>
      </c>
      <c r="G91">
        <v>128560.01</v>
      </c>
      <c r="H91">
        <v>7</v>
      </c>
      <c r="I91">
        <v>52</v>
      </c>
      <c r="J91" t="s">
        <v>242</v>
      </c>
      <c r="K91" t="s">
        <v>240</v>
      </c>
    </row>
    <row r="92" spans="1:11" x14ac:dyDescent="0.3">
      <c r="A92" s="3" t="s">
        <v>117</v>
      </c>
      <c r="B92" s="3" t="s">
        <v>31</v>
      </c>
      <c r="C92" s="3" t="s">
        <v>11</v>
      </c>
      <c r="D92" s="3" t="s">
        <v>23</v>
      </c>
      <c r="E92" s="3" t="s">
        <v>29</v>
      </c>
      <c r="F92">
        <v>30</v>
      </c>
      <c r="G92">
        <v>147742.63</v>
      </c>
      <c r="H92">
        <v>28</v>
      </c>
      <c r="I92">
        <v>62</v>
      </c>
      <c r="J92" t="s">
        <v>242</v>
      </c>
      <c r="K92" t="s">
        <v>241</v>
      </c>
    </row>
    <row r="93" spans="1:11" x14ac:dyDescent="0.3">
      <c r="A93" s="3" t="s">
        <v>118</v>
      </c>
      <c r="B93" s="3" t="s">
        <v>15</v>
      </c>
      <c r="C93" s="3" t="s">
        <v>11</v>
      </c>
      <c r="D93" s="3" t="s">
        <v>17</v>
      </c>
      <c r="E93" s="3" t="s">
        <v>29</v>
      </c>
      <c r="F93">
        <v>66</v>
      </c>
      <c r="G93">
        <v>54562.1</v>
      </c>
      <c r="H93">
        <v>21</v>
      </c>
      <c r="I93">
        <v>86</v>
      </c>
      <c r="J93" t="s">
        <v>238</v>
      </c>
      <c r="K93" t="s">
        <v>244</v>
      </c>
    </row>
    <row r="94" spans="1:11" x14ac:dyDescent="0.3">
      <c r="A94" s="3" t="s">
        <v>119</v>
      </c>
      <c r="B94" s="3" t="s">
        <v>36</v>
      </c>
      <c r="C94" s="3" t="s">
        <v>28</v>
      </c>
      <c r="D94" s="3" t="s">
        <v>23</v>
      </c>
      <c r="E94" s="3" t="s">
        <v>29</v>
      </c>
      <c r="F94">
        <v>1</v>
      </c>
      <c r="G94">
        <v>146289.26999999999</v>
      </c>
      <c r="H94">
        <v>17</v>
      </c>
      <c r="I94">
        <v>47</v>
      </c>
      <c r="J94" t="s">
        <v>242</v>
      </c>
      <c r="K94" t="s">
        <v>245</v>
      </c>
    </row>
    <row r="95" spans="1:11" x14ac:dyDescent="0.3">
      <c r="A95" s="3" t="s">
        <v>120</v>
      </c>
      <c r="B95" s="3" t="s">
        <v>31</v>
      </c>
      <c r="C95" s="3" t="s">
        <v>41</v>
      </c>
      <c r="D95" s="3" t="s">
        <v>32</v>
      </c>
      <c r="E95" s="3" t="s">
        <v>29</v>
      </c>
      <c r="F95">
        <v>89</v>
      </c>
      <c r="G95">
        <v>128840.81</v>
      </c>
      <c r="H95">
        <v>22</v>
      </c>
      <c r="I95">
        <v>81</v>
      </c>
      <c r="J95" t="s">
        <v>242</v>
      </c>
      <c r="K95" t="s">
        <v>240</v>
      </c>
    </row>
    <row r="96" spans="1:11" x14ac:dyDescent="0.3">
      <c r="A96" s="3" t="s">
        <v>121</v>
      </c>
      <c r="B96" s="3" t="s">
        <v>22</v>
      </c>
      <c r="C96" s="3" t="s">
        <v>16</v>
      </c>
      <c r="D96" s="3" t="s">
        <v>17</v>
      </c>
      <c r="E96" s="3" t="s">
        <v>29</v>
      </c>
      <c r="F96">
        <v>48</v>
      </c>
      <c r="G96">
        <v>19629.22</v>
      </c>
      <c r="H96">
        <v>2</v>
      </c>
      <c r="I96">
        <v>95</v>
      </c>
      <c r="J96" t="s">
        <v>238</v>
      </c>
      <c r="K96" t="s">
        <v>239</v>
      </c>
    </row>
    <row r="97" spans="1:11" x14ac:dyDescent="0.3">
      <c r="A97" s="3" t="s">
        <v>122</v>
      </c>
      <c r="B97" s="3" t="s">
        <v>31</v>
      </c>
      <c r="C97" s="3" t="s">
        <v>28</v>
      </c>
      <c r="D97" s="3" t="s">
        <v>32</v>
      </c>
      <c r="E97" s="3" t="s">
        <v>13</v>
      </c>
      <c r="F97">
        <v>59</v>
      </c>
      <c r="G97">
        <v>73629.03</v>
      </c>
      <c r="H97">
        <v>10</v>
      </c>
      <c r="I97">
        <v>85</v>
      </c>
      <c r="J97" t="s">
        <v>238</v>
      </c>
      <c r="K97" t="s">
        <v>241</v>
      </c>
    </row>
    <row r="98" spans="1:11" x14ac:dyDescent="0.3">
      <c r="A98" s="3" t="s">
        <v>123</v>
      </c>
      <c r="B98" s="3" t="s">
        <v>25</v>
      </c>
      <c r="C98" s="3" t="s">
        <v>16</v>
      </c>
      <c r="D98" s="3" t="s">
        <v>32</v>
      </c>
      <c r="E98" s="3" t="s">
        <v>29</v>
      </c>
      <c r="F98">
        <v>54</v>
      </c>
      <c r="G98">
        <v>100747.7</v>
      </c>
      <c r="H98">
        <v>12</v>
      </c>
      <c r="I98">
        <v>74</v>
      </c>
      <c r="J98" t="s">
        <v>242</v>
      </c>
      <c r="K98" t="s">
        <v>241</v>
      </c>
    </row>
    <row r="99" spans="1:11" x14ac:dyDescent="0.3">
      <c r="A99" s="3" t="s">
        <v>124</v>
      </c>
      <c r="B99" s="3" t="s">
        <v>15</v>
      </c>
      <c r="C99" s="3" t="s">
        <v>11</v>
      </c>
      <c r="D99" s="3" t="s">
        <v>12</v>
      </c>
      <c r="E99" s="3" t="s">
        <v>29</v>
      </c>
      <c r="F99">
        <v>35</v>
      </c>
      <c r="G99">
        <v>85523.17</v>
      </c>
      <c r="H99">
        <v>30</v>
      </c>
      <c r="I99">
        <v>90</v>
      </c>
      <c r="J99" t="s">
        <v>242</v>
      </c>
      <c r="K99" t="s">
        <v>241</v>
      </c>
    </row>
    <row r="100" spans="1:11" x14ac:dyDescent="0.3">
      <c r="A100" s="3" t="s">
        <v>125</v>
      </c>
      <c r="B100" s="3" t="s">
        <v>31</v>
      </c>
      <c r="C100" s="3" t="s">
        <v>16</v>
      </c>
      <c r="D100" s="3" t="s">
        <v>23</v>
      </c>
      <c r="E100" s="3" t="s">
        <v>29</v>
      </c>
      <c r="F100">
        <v>33</v>
      </c>
      <c r="G100">
        <v>79151.14</v>
      </c>
      <c r="H100">
        <v>2</v>
      </c>
      <c r="I100">
        <v>56</v>
      </c>
      <c r="J100" t="s">
        <v>242</v>
      </c>
      <c r="K100" t="s">
        <v>244</v>
      </c>
    </row>
    <row r="101" spans="1:11" x14ac:dyDescent="0.3">
      <c r="A101" s="3" t="s">
        <v>126</v>
      </c>
      <c r="B101" s="3" t="s">
        <v>36</v>
      </c>
      <c r="C101" s="3" t="s">
        <v>11</v>
      </c>
      <c r="D101" s="3" t="s">
        <v>23</v>
      </c>
      <c r="E101" s="3" t="s">
        <v>13</v>
      </c>
      <c r="F101">
        <v>30</v>
      </c>
      <c r="G101">
        <v>115395.67</v>
      </c>
      <c r="H101">
        <v>11</v>
      </c>
      <c r="I101">
        <v>74</v>
      </c>
      <c r="J101" t="s">
        <v>242</v>
      </c>
      <c r="K101" t="s">
        <v>244</v>
      </c>
    </row>
    <row r="102" spans="1:11" x14ac:dyDescent="0.3">
      <c r="A102" s="3" t="s">
        <v>127</v>
      </c>
      <c r="B102" s="3" t="s">
        <v>22</v>
      </c>
      <c r="C102" s="3" t="s">
        <v>28</v>
      </c>
      <c r="D102" s="3" t="s">
        <v>12</v>
      </c>
      <c r="E102" s="3" t="s">
        <v>13</v>
      </c>
      <c r="F102">
        <v>60</v>
      </c>
      <c r="G102">
        <v>49131.44</v>
      </c>
      <c r="H102">
        <v>2</v>
      </c>
      <c r="I102">
        <v>44</v>
      </c>
      <c r="J102" t="s">
        <v>238</v>
      </c>
      <c r="K102" t="s">
        <v>244</v>
      </c>
    </row>
    <row r="103" spans="1:11" x14ac:dyDescent="0.3">
      <c r="A103" s="3" t="s">
        <v>128</v>
      </c>
      <c r="B103" s="3" t="s">
        <v>31</v>
      </c>
      <c r="C103" s="3" t="s">
        <v>11</v>
      </c>
      <c r="D103" s="3" t="s">
        <v>23</v>
      </c>
      <c r="E103" s="3" t="s">
        <v>29</v>
      </c>
      <c r="F103">
        <v>70</v>
      </c>
      <c r="G103">
        <v>58132.5</v>
      </c>
      <c r="H103">
        <v>25</v>
      </c>
      <c r="I103">
        <v>43</v>
      </c>
      <c r="J103" t="s">
        <v>238</v>
      </c>
      <c r="K103" t="s">
        <v>245</v>
      </c>
    </row>
    <row r="104" spans="1:11" x14ac:dyDescent="0.3">
      <c r="A104" s="3" t="s">
        <v>129</v>
      </c>
      <c r="B104" s="3" t="s">
        <v>36</v>
      </c>
      <c r="C104" s="3" t="s">
        <v>41</v>
      </c>
      <c r="D104" s="3" t="s">
        <v>12</v>
      </c>
      <c r="E104" s="3" t="s">
        <v>13</v>
      </c>
      <c r="F104">
        <v>6</v>
      </c>
      <c r="G104">
        <v>77311.77</v>
      </c>
      <c r="H104">
        <v>19</v>
      </c>
      <c r="I104">
        <v>90</v>
      </c>
      <c r="J104" t="s">
        <v>242</v>
      </c>
      <c r="K104" t="s">
        <v>245</v>
      </c>
    </row>
    <row r="105" spans="1:11" x14ac:dyDescent="0.3">
      <c r="A105" s="3" t="s">
        <v>130</v>
      </c>
      <c r="B105" s="3" t="s">
        <v>25</v>
      </c>
      <c r="C105" s="3" t="s">
        <v>28</v>
      </c>
      <c r="D105" s="3" t="s">
        <v>32</v>
      </c>
      <c r="E105" s="3" t="s">
        <v>29</v>
      </c>
      <c r="F105">
        <v>70</v>
      </c>
      <c r="G105">
        <v>14270.62</v>
      </c>
      <c r="H105">
        <v>24</v>
      </c>
      <c r="I105">
        <v>43</v>
      </c>
      <c r="J105" t="s">
        <v>238</v>
      </c>
      <c r="K105" t="s">
        <v>240</v>
      </c>
    </row>
    <row r="106" spans="1:11" x14ac:dyDescent="0.3">
      <c r="A106" s="3" t="s">
        <v>131</v>
      </c>
      <c r="B106" s="3" t="s">
        <v>15</v>
      </c>
      <c r="C106" s="3" t="s">
        <v>28</v>
      </c>
      <c r="D106" s="3" t="s">
        <v>26</v>
      </c>
      <c r="E106" s="3" t="s">
        <v>13</v>
      </c>
      <c r="F106">
        <v>52</v>
      </c>
      <c r="G106">
        <v>97685.72</v>
      </c>
      <c r="H106">
        <v>28</v>
      </c>
      <c r="I106">
        <v>59</v>
      </c>
      <c r="J106" t="s">
        <v>242</v>
      </c>
      <c r="K106" t="s">
        <v>245</v>
      </c>
    </row>
    <row r="107" spans="1:11" x14ac:dyDescent="0.3">
      <c r="A107" s="3" t="s">
        <v>132</v>
      </c>
      <c r="B107" s="3" t="s">
        <v>10</v>
      </c>
      <c r="C107" s="3" t="s">
        <v>16</v>
      </c>
      <c r="D107" s="3" t="s">
        <v>23</v>
      </c>
      <c r="E107" s="3" t="s">
        <v>18</v>
      </c>
      <c r="F107">
        <v>64</v>
      </c>
      <c r="G107">
        <v>142687.47</v>
      </c>
      <c r="H107">
        <v>27</v>
      </c>
      <c r="I107">
        <v>80</v>
      </c>
      <c r="J107" t="s">
        <v>242</v>
      </c>
      <c r="K107" t="s">
        <v>241</v>
      </c>
    </row>
    <row r="108" spans="1:11" x14ac:dyDescent="0.3">
      <c r="A108" s="3" t="s">
        <v>133</v>
      </c>
      <c r="B108" s="3" t="s">
        <v>31</v>
      </c>
      <c r="C108" s="3" t="s">
        <v>28</v>
      </c>
      <c r="D108" s="3" t="s">
        <v>17</v>
      </c>
      <c r="E108" s="3" t="s">
        <v>29</v>
      </c>
      <c r="F108">
        <v>35</v>
      </c>
      <c r="G108">
        <v>36754.51</v>
      </c>
      <c r="H108">
        <v>27</v>
      </c>
      <c r="I108">
        <v>49</v>
      </c>
      <c r="J108" t="s">
        <v>238</v>
      </c>
      <c r="K108" t="s">
        <v>245</v>
      </c>
    </row>
    <row r="109" spans="1:11" x14ac:dyDescent="0.3">
      <c r="A109" s="3" t="s">
        <v>134</v>
      </c>
      <c r="B109" s="3" t="s">
        <v>15</v>
      </c>
      <c r="C109" s="3" t="s">
        <v>16</v>
      </c>
      <c r="D109" s="3" t="s">
        <v>17</v>
      </c>
      <c r="E109" s="3" t="s">
        <v>29</v>
      </c>
      <c r="F109">
        <v>62</v>
      </c>
      <c r="G109">
        <v>34938.57</v>
      </c>
      <c r="H109">
        <v>8</v>
      </c>
      <c r="I109">
        <v>70</v>
      </c>
      <c r="J109" t="s">
        <v>238</v>
      </c>
      <c r="K109" t="s">
        <v>244</v>
      </c>
    </row>
    <row r="110" spans="1:11" x14ac:dyDescent="0.3">
      <c r="A110" s="3" t="s">
        <v>135</v>
      </c>
      <c r="B110" s="3" t="s">
        <v>22</v>
      </c>
      <c r="C110" s="3" t="s">
        <v>28</v>
      </c>
      <c r="D110" s="3" t="s">
        <v>12</v>
      </c>
      <c r="E110" s="3" t="s">
        <v>13</v>
      </c>
      <c r="F110">
        <v>22</v>
      </c>
      <c r="G110">
        <v>97228.49</v>
      </c>
      <c r="H110">
        <v>7</v>
      </c>
      <c r="I110">
        <v>60</v>
      </c>
      <c r="J110" t="s">
        <v>242</v>
      </c>
      <c r="K110" t="s">
        <v>245</v>
      </c>
    </row>
    <row r="111" spans="1:11" x14ac:dyDescent="0.3">
      <c r="A111" s="3" t="s">
        <v>136</v>
      </c>
      <c r="B111" s="3" t="s">
        <v>25</v>
      </c>
      <c r="C111" s="3" t="s">
        <v>28</v>
      </c>
      <c r="D111" s="3" t="s">
        <v>17</v>
      </c>
      <c r="E111" s="3" t="s">
        <v>13</v>
      </c>
      <c r="F111">
        <v>42</v>
      </c>
      <c r="G111">
        <v>91441.1</v>
      </c>
      <c r="H111">
        <v>22</v>
      </c>
      <c r="I111">
        <v>84</v>
      </c>
      <c r="J111" t="s">
        <v>242</v>
      </c>
      <c r="K111" t="s">
        <v>243</v>
      </c>
    </row>
    <row r="112" spans="1:11" x14ac:dyDescent="0.3">
      <c r="A112" s="3" t="s">
        <v>137</v>
      </c>
      <c r="B112" s="3" t="s">
        <v>10</v>
      </c>
      <c r="C112" s="3" t="s">
        <v>41</v>
      </c>
      <c r="D112" s="3" t="s">
        <v>32</v>
      </c>
      <c r="E112" s="3" t="s">
        <v>13</v>
      </c>
      <c r="F112">
        <v>24</v>
      </c>
      <c r="G112">
        <v>139624.06</v>
      </c>
      <c r="H112">
        <v>5</v>
      </c>
      <c r="I112">
        <v>55</v>
      </c>
      <c r="J112" t="s">
        <v>242</v>
      </c>
      <c r="K112" t="s">
        <v>244</v>
      </c>
    </row>
    <row r="113" spans="1:11" x14ac:dyDescent="0.3">
      <c r="A113" s="3" t="s">
        <v>138</v>
      </c>
      <c r="B113" s="3" t="s">
        <v>25</v>
      </c>
      <c r="C113" s="3" t="s">
        <v>16</v>
      </c>
      <c r="D113" s="3" t="s">
        <v>12</v>
      </c>
      <c r="E113" s="3" t="s">
        <v>29</v>
      </c>
      <c r="F113">
        <v>17</v>
      </c>
      <c r="G113">
        <v>86650.5</v>
      </c>
      <c r="H113">
        <v>3</v>
      </c>
      <c r="I113">
        <v>53</v>
      </c>
      <c r="J113" t="s">
        <v>242</v>
      </c>
      <c r="K113" t="s">
        <v>243</v>
      </c>
    </row>
    <row r="114" spans="1:11" x14ac:dyDescent="0.3">
      <c r="A114" s="3" t="s">
        <v>139</v>
      </c>
      <c r="B114" s="3" t="s">
        <v>31</v>
      </c>
      <c r="C114" s="3" t="s">
        <v>11</v>
      </c>
      <c r="D114" s="3" t="s">
        <v>17</v>
      </c>
      <c r="E114" s="3" t="s">
        <v>18</v>
      </c>
      <c r="F114">
        <v>75</v>
      </c>
      <c r="G114">
        <v>85517.09</v>
      </c>
      <c r="H114">
        <v>6</v>
      </c>
      <c r="I114">
        <v>79</v>
      </c>
      <c r="J114" t="s">
        <v>242</v>
      </c>
      <c r="K114" t="s">
        <v>246</v>
      </c>
    </row>
    <row r="115" spans="1:11" x14ac:dyDescent="0.3">
      <c r="A115" s="3" t="s">
        <v>140</v>
      </c>
      <c r="B115" s="3" t="s">
        <v>10</v>
      </c>
      <c r="C115" s="3" t="s">
        <v>11</v>
      </c>
      <c r="D115" s="3" t="s">
        <v>17</v>
      </c>
      <c r="E115" s="3" t="s">
        <v>13</v>
      </c>
      <c r="F115">
        <v>47</v>
      </c>
      <c r="G115">
        <v>134120.62</v>
      </c>
      <c r="H115">
        <v>11</v>
      </c>
      <c r="I115">
        <v>92</v>
      </c>
      <c r="J115" t="s">
        <v>242</v>
      </c>
      <c r="K115" t="s">
        <v>239</v>
      </c>
    </row>
    <row r="116" spans="1:11" x14ac:dyDescent="0.3">
      <c r="A116" s="3" t="s">
        <v>141</v>
      </c>
      <c r="B116" s="3" t="s">
        <v>22</v>
      </c>
      <c r="C116" s="3" t="s">
        <v>41</v>
      </c>
      <c r="D116" s="3" t="s">
        <v>23</v>
      </c>
      <c r="E116" s="3" t="s">
        <v>29</v>
      </c>
      <c r="F116">
        <v>81</v>
      </c>
      <c r="G116">
        <v>22593.06</v>
      </c>
      <c r="H116">
        <v>6</v>
      </c>
      <c r="I116">
        <v>67</v>
      </c>
      <c r="J116" t="s">
        <v>238</v>
      </c>
      <c r="K116" t="s">
        <v>241</v>
      </c>
    </row>
    <row r="117" spans="1:11" x14ac:dyDescent="0.3">
      <c r="A117" s="3" t="s">
        <v>142</v>
      </c>
      <c r="B117" s="3" t="s">
        <v>10</v>
      </c>
      <c r="C117" s="3" t="s">
        <v>28</v>
      </c>
      <c r="D117" s="3" t="s">
        <v>23</v>
      </c>
      <c r="E117" s="3" t="s">
        <v>18</v>
      </c>
      <c r="F117">
        <v>20</v>
      </c>
      <c r="G117">
        <v>88741.64</v>
      </c>
      <c r="H117">
        <v>26</v>
      </c>
      <c r="I117">
        <v>99</v>
      </c>
      <c r="J117" t="s">
        <v>242</v>
      </c>
      <c r="K117" t="s">
        <v>239</v>
      </c>
    </row>
    <row r="118" spans="1:11" x14ac:dyDescent="0.3">
      <c r="A118" s="3" t="s">
        <v>143</v>
      </c>
      <c r="B118" s="3" t="s">
        <v>10</v>
      </c>
      <c r="C118" s="3" t="s">
        <v>16</v>
      </c>
      <c r="D118" s="3" t="s">
        <v>17</v>
      </c>
      <c r="E118" s="3" t="s">
        <v>18</v>
      </c>
      <c r="F118">
        <v>14</v>
      </c>
      <c r="G118">
        <v>10917.19</v>
      </c>
      <c r="H118">
        <v>22</v>
      </c>
      <c r="I118">
        <v>43</v>
      </c>
      <c r="J118" t="s">
        <v>238</v>
      </c>
      <c r="K118" t="s">
        <v>243</v>
      </c>
    </row>
    <row r="119" spans="1:11" x14ac:dyDescent="0.3">
      <c r="A119" s="3" t="s">
        <v>144</v>
      </c>
      <c r="B119" s="3" t="s">
        <v>10</v>
      </c>
      <c r="C119" s="3" t="s">
        <v>41</v>
      </c>
      <c r="D119" s="3" t="s">
        <v>32</v>
      </c>
      <c r="E119" s="3" t="s">
        <v>13</v>
      </c>
      <c r="F119">
        <v>30</v>
      </c>
      <c r="G119">
        <v>97613.71</v>
      </c>
      <c r="H119">
        <v>24</v>
      </c>
      <c r="I119">
        <v>72</v>
      </c>
      <c r="J119" t="s">
        <v>242</v>
      </c>
      <c r="K119" t="s">
        <v>246</v>
      </c>
    </row>
    <row r="120" spans="1:11" x14ac:dyDescent="0.3">
      <c r="A120" s="3" t="s">
        <v>145</v>
      </c>
      <c r="B120" s="3" t="s">
        <v>36</v>
      </c>
      <c r="C120" s="3" t="s">
        <v>41</v>
      </c>
      <c r="D120" s="3" t="s">
        <v>23</v>
      </c>
      <c r="E120" s="3" t="s">
        <v>13</v>
      </c>
      <c r="F120">
        <v>81</v>
      </c>
      <c r="G120">
        <v>135711.26999999999</v>
      </c>
      <c r="H120">
        <v>14</v>
      </c>
      <c r="I120">
        <v>99</v>
      </c>
      <c r="J120" t="s">
        <v>242</v>
      </c>
      <c r="K120" t="s">
        <v>244</v>
      </c>
    </row>
    <row r="121" spans="1:11" x14ac:dyDescent="0.3">
      <c r="A121" s="3" t="s">
        <v>146</v>
      </c>
      <c r="B121" s="3" t="s">
        <v>15</v>
      </c>
      <c r="C121" s="3" t="s">
        <v>16</v>
      </c>
      <c r="D121" s="3" t="s">
        <v>23</v>
      </c>
      <c r="E121" s="3" t="s">
        <v>13</v>
      </c>
      <c r="F121">
        <v>48</v>
      </c>
      <c r="G121">
        <v>117464.18</v>
      </c>
      <c r="H121">
        <v>2</v>
      </c>
      <c r="I121">
        <v>61</v>
      </c>
      <c r="J121" t="s">
        <v>242</v>
      </c>
      <c r="K121" t="s">
        <v>239</v>
      </c>
    </row>
    <row r="122" spans="1:11" x14ac:dyDescent="0.3">
      <c r="A122" s="3" t="s">
        <v>147</v>
      </c>
      <c r="B122" s="3" t="s">
        <v>22</v>
      </c>
      <c r="C122" s="3" t="s">
        <v>16</v>
      </c>
      <c r="D122" s="3" t="s">
        <v>23</v>
      </c>
      <c r="E122" s="3" t="s">
        <v>29</v>
      </c>
      <c r="F122">
        <v>45</v>
      </c>
      <c r="G122">
        <v>89474.55</v>
      </c>
      <c r="H122">
        <v>21</v>
      </c>
      <c r="I122">
        <v>64</v>
      </c>
      <c r="J122" t="s">
        <v>242</v>
      </c>
      <c r="K122" t="s">
        <v>241</v>
      </c>
    </row>
    <row r="123" spans="1:11" x14ac:dyDescent="0.3">
      <c r="A123" s="3" t="s">
        <v>148</v>
      </c>
      <c r="B123" s="3" t="s">
        <v>10</v>
      </c>
      <c r="C123" s="3" t="s">
        <v>41</v>
      </c>
      <c r="D123" s="3" t="s">
        <v>32</v>
      </c>
      <c r="E123" s="3" t="s">
        <v>29</v>
      </c>
      <c r="F123">
        <v>1</v>
      </c>
      <c r="G123">
        <v>105954.09</v>
      </c>
      <c r="H123">
        <v>12</v>
      </c>
      <c r="I123">
        <v>95</v>
      </c>
      <c r="J123" t="s">
        <v>242</v>
      </c>
      <c r="K123" t="s">
        <v>241</v>
      </c>
    </row>
    <row r="124" spans="1:11" x14ac:dyDescent="0.3">
      <c r="A124" s="3" t="s">
        <v>149</v>
      </c>
      <c r="B124" s="3" t="s">
        <v>15</v>
      </c>
      <c r="C124" s="3" t="s">
        <v>28</v>
      </c>
      <c r="D124" s="3" t="s">
        <v>26</v>
      </c>
      <c r="E124" s="3" t="s">
        <v>13</v>
      </c>
      <c r="F124">
        <v>30</v>
      </c>
      <c r="G124">
        <v>91267.91</v>
      </c>
      <c r="H124">
        <v>17</v>
      </c>
      <c r="I124">
        <v>76</v>
      </c>
      <c r="J124" t="s">
        <v>242</v>
      </c>
      <c r="K124" t="s">
        <v>240</v>
      </c>
    </row>
    <row r="125" spans="1:11" x14ac:dyDescent="0.3">
      <c r="A125" s="3" t="s">
        <v>150</v>
      </c>
      <c r="B125" s="3" t="s">
        <v>36</v>
      </c>
      <c r="C125" s="3" t="s">
        <v>11</v>
      </c>
      <c r="D125" s="3" t="s">
        <v>26</v>
      </c>
      <c r="E125" s="3" t="s">
        <v>13</v>
      </c>
      <c r="F125">
        <v>3</v>
      </c>
      <c r="G125">
        <v>46506.94</v>
      </c>
      <c r="H125">
        <v>9</v>
      </c>
      <c r="I125">
        <v>72</v>
      </c>
      <c r="J125" t="s">
        <v>238</v>
      </c>
      <c r="K125" t="s">
        <v>244</v>
      </c>
    </row>
    <row r="126" spans="1:11" x14ac:dyDescent="0.3">
      <c r="A126" s="3" t="s">
        <v>151</v>
      </c>
      <c r="B126" s="3" t="s">
        <v>31</v>
      </c>
      <c r="C126" s="3" t="s">
        <v>41</v>
      </c>
      <c r="D126" s="3" t="s">
        <v>17</v>
      </c>
      <c r="E126" s="3" t="s">
        <v>13</v>
      </c>
      <c r="F126">
        <v>78</v>
      </c>
      <c r="G126">
        <v>40568.300000000003</v>
      </c>
      <c r="H126">
        <v>18</v>
      </c>
      <c r="I126">
        <v>91</v>
      </c>
      <c r="J126" t="s">
        <v>238</v>
      </c>
      <c r="K126" t="s">
        <v>240</v>
      </c>
    </row>
    <row r="127" spans="1:11" x14ac:dyDescent="0.3">
      <c r="A127" s="3" t="s">
        <v>152</v>
      </c>
      <c r="B127" s="3" t="s">
        <v>22</v>
      </c>
      <c r="C127" s="3" t="s">
        <v>11</v>
      </c>
      <c r="D127" s="3" t="s">
        <v>32</v>
      </c>
      <c r="E127" s="3" t="s">
        <v>18</v>
      </c>
      <c r="F127">
        <v>35</v>
      </c>
      <c r="G127">
        <v>132265.98000000001</v>
      </c>
      <c r="H127">
        <v>7</v>
      </c>
      <c r="I127">
        <v>45</v>
      </c>
      <c r="J127" t="s">
        <v>242</v>
      </c>
      <c r="K127" t="s">
        <v>239</v>
      </c>
    </row>
    <row r="128" spans="1:11" x14ac:dyDescent="0.3">
      <c r="A128" s="3" t="s">
        <v>153</v>
      </c>
      <c r="B128" s="3" t="s">
        <v>15</v>
      </c>
      <c r="C128" s="3" t="s">
        <v>41</v>
      </c>
      <c r="D128" s="3" t="s">
        <v>23</v>
      </c>
      <c r="E128" s="3" t="s">
        <v>18</v>
      </c>
      <c r="F128">
        <v>88</v>
      </c>
      <c r="G128">
        <v>50993.47</v>
      </c>
      <c r="H128">
        <v>4</v>
      </c>
      <c r="I128">
        <v>82</v>
      </c>
      <c r="J128" t="s">
        <v>238</v>
      </c>
      <c r="K128" t="s">
        <v>244</v>
      </c>
    </row>
    <row r="129" spans="1:11" x14ac:dyDescent="0.3">
      <c r="A129" s="3" t="s">
        <v>154</v>
      </c>
      <c r="B129" s="3" t="s">
        <v>22</v>
      </c>
      <c r="C129" s="3" t="s">
        <v>41</v>
      </c>
      <c r="D129" s="3" t="s">
        <v>17</v>
      </c>
      <c r="E129" s="3" t="s">
        <v>18</v>
      </c>
      <c r="F129">
        <v>7</v>
      </c>
      <c r="G129">
        <v>135590.48000000001</v>
      </c>
      <c r="H129">
        <v>6</v>
      </c>
      <c r="I129">
        <v>46</v>
      </c>
      <c r="J129" t="s">
        <v>242</v>
      </c>
      <c r="K129" t="s">
        <v>239</v>
      </c>
    </row>
    <row r="130" spans="1:11" x14ac:dyDescent="0.3">
      <c r="A130" s="3" t="s">
        <v>155</v>
      </c>
      <c r="B130" s="3" t="s">
        <v>15</v>
      </c>
      <c r="C130" s="3" t="s">
        <v>41</v>
      </c>
      <c r="D130" s="3" t="s">
        <v>32</v>
      </c>
      <c r="E130" s="3" t="s">
        <v>13</v>
      </c>
      <c r="F130">
        <v>73</v>
      </c>
      <c r="G130">
        <v>148956.56</v>
      </c>
      <c r="H130">
        <v>6</v>
      </c>
      <c r="I130">
        <v>100</v>
      </c>
      <c r="J130" t="s">
        <v>242</v>
      </c>
      <c r="K130" t="s">
        <v>240</v>
      </c>
    </row>
    <row r="131" spans="1:11" x14ac:dyDescent="0.3">
      <c r="A131" s="3" t="s">
        <v>156</v>
      </c>
      <c r="B131" s="3" t="s">
        <v>25</v>
      </c>
      <c r="C131" s="3" t="s">
        <v>16</v>
      </c>
      <c r="D131" s="3" t="s">
        <v>12</v>
      </c>
      <c r="E131" s="3" t="s">
        <v>18</v>
      </c>
      <c r="F131">
        <v>83</v>
      </c>
      <c r="G131">
        <v>71584.960000000006</v>
      </c>
      <c r="H131">
        <v>26</v>
      </c>
      <c r="I131">
        <v>55</v>
      </c>
      <c r="J131" t="s">
        <v>238</v>
      </c>
      <c r="K131" t="s">
        <v>245</v>
      </c>
    </row>
    <row r="132" spans="1:11" x14ac:dyDescent="0.3">
      <c r="A132" s="3" t="s">
        <v>157</v>
      </c>
      <c r="B132" s="3" t="s">
        <v>22</v>
      </c>
      <c r="C132" s="3" t="s">
        <v>28</v>
      </c>
      <c r="D132" s="3" t="s">
        <v>17</v>
      </c>
      <c r="E132" s="3" t="s">
        <v>29</v>
      </c>
      <c r="F132">
        <v>37</v>
      </c>
      <c r="G132">
        <v>78613.16</v>
      </c>
      <c r="H132">
        <v>20</v>
      </c>
      <c r="I132">
        <v>85</v>
      </c>
      <c r="J132" t="s">
        <v>242</v>
      </c>
      <c r="K132" t="s">
        <v>239</v>
      </c>
    </row>
    <row r="133" spans="1:11" x14ac:dyDescent="0.3">
      <c r="A133" s="3" t="s">
        <v>158</v>
      </c>
      <c r="B133" s="3" t="s">
        <v>22</v>
      </c>
      <c r="C133" s="3" t="s">
        <v>11</v>
      </c>
      <c r="D133" s="3" t="s">
        <v>23</v>
      </c>
      <c r="E133" s="3" t="s">
        <v>18</v>
      </c>
      <c r="F133">
        <v>53</v>
      </c>
      <c r="G133">
        <v>103548.4</v>
      </c>
      <c r="H133">
        <v>27</v>
      </c>
      <c r="I133">
        <v>74</v>
      </c>
      <c r="J133" t="s">
        <v>242</v>
      </c>
      <c r="K133" t="s">
        <v>244</v>
      </c>
    </row>
    <row r="134" spans="1:11" x14ac:dyDescent="0.3">
      <c r="A134" s="3" t="s">
        <v>159</v>
      </c>
      <c r="B134" s="3" t="s">
        <v>31</v>
      </c>
      <c r="C134" s="3" t="s">
        <v>11</v>
      </c>
      <c r="D134" s="3" t="s">
        <v>32</v>
      </c>
      <c r="E134" s="3" t="s">
        <v>29</v>
      </c>
      <c r="F134">
        <v>50</v>
      </c>
      <c r="G134">
        <v>62134.18</v>
      </c>
      <c r="H134">
        <v>13</v>
      </c>
      <c r="I134">
        <v>40</v>
      </c>
      <c r="J134" t="s">
        <v>238</v>
      </c>
      <c r="K134" t="s">
        <v>241</v>
      </c>
    </row>
    <row r="135" spans="1:11" x14ac:dyDescent="0.3">
      <c r="A135" s="3" t="s">
        <v>160</v>
      </c>
      <c r="B135" s="3" t="s">
        <v>36</v>
      </c>
      <c r="C135" s="3" t="s">
        <v>41</v>
      </c>
      <c r="D135" s="3" t="s">
        <v>32</v>
      </c>
      <c r="E135" s="3" t="s">
        <v>18</v>
      </c>
      <c r="F135">
        <v>7</v>
      </c>
      <c r="G135">
        <v>59235.13</v>
      </c>
      <c r="H135">
        <v>12</v>
      </c>
      <c r="I135">
        <v>42</v>
      </c>
      <c r="J135" t="s">
        <v>238</v>
      </c>
      <c r="K135" t="s">
        <v>241</v>
      </c>
    </row>
    <row r="136" spans="1:11" x14ac:dyDescent="0.3">
      <c r="A136" s="3" t="s">
        <v>161</v>
      </c>
      <c r="B136" s="3" t="s">
        <v>10</v>
      </c>
      <c r="C136" s="3" t="s">
        <v>28</v>
      </c>
      <c r="D136" s="3" t="s">
        <v>32</v>
      </c>
      <c r="E136" s="3" t="s">
        <v>18</v>
      </c>
      <c r="F136">
        <v>38</v>
      </c>
      <c r="G136">
        <v>118022.05</v>
      </c>
      <c r="H136">
        <v>17</v>
      </c>
      <c r="I136">
        <v>79</v>
      </c>
      <c r="J136" t="s">
        <v>242</v>
      </c>
      <c r="K136" t="s">
        <v>240</v>
      </c>
    </row>
    <row r="137" spans="1:11" x14ac:dyDescent="0.3">
      <c r="A137" s="3" t="s">
        <v>162</v>
      </c>
      <c r="B137" s="3" t="s">
        <v>25</v>
      </c>
      <c r="C137" s="3" t="s">
        <v>11</v>
      </c>
      <c r="D137" s="3" t="s">
        <v>26</v>
      </c>
      <c r="E137" s="3" t="s">
        <v>13</v>
      </c>
      <c r="F137">
        <v>49</v>
      </c>
      <c r="G137">
        <v>127750.62</v>
      </c>
      <c r="H137">
        <v>18</v>
      </c>
      <c r="I137">
        <v>60</v>
      </c>
      <c r="J137" t="s">
        <v>242</v>
      </c>
      <c r="K137" t="s">
        <v>244</v>
      </c>
    </row>
    <row r="138" spans="1:11" x14ac:dyDescent="0.3">
      <c r="A138" s="3" t="s">
        <v>163</v>
      </c>
      <c r="B138" s="3" t="s">
        <v>15</v>
      </c>
      <c r="C138" s="3" t="s">
        <v>28</v>
      </c>
      <c r="D138" s="3" t="s">
        <v>17</v>
      </c>
      <c r="E138" s="3" t="s">
        <v>29</v>
      </c>
      <c r="F138">
        <v>27</v>
      </c>
      <c r="G138">
        <v>79666.86</v>
      </c>
      <c r="H138">
        <v>16</v>
      </c>
      <c r="I138">
        <v>85</v>
      </c>
      <c r="J138" t="s">
        <v>242</v>
      </c>
      <c r="K138" t="s">
        <v>241</v>
      </c>
    </row>
    <row r="139" spans="1:11" x14ac:dyDescent="0.3">
      <c r="A139" s="3" t="s">
        <v>164</v>
      </c>
      <c r="B139" s="3" t="s">
        <v>22</v>
      </c>
      <c r="C139" s="3" t="s">
        <v>41</v>
      </c>
      <c r="D139" s="3" t="s">
        <v>12</v>
      </c>
      <c r="E139" s="3" t="s">
        <v>13</v>
      </c>
      <c r="F139">
        <v>65</v>
      </c>
      <c r="G139">
        <v>120956.04</v>
      </c>
      <c r="H139">
        <v>25</v>
      </c>
      <c r="I139">
        <v>95</v>
      </c>
      <c r="J139" t="s">
        <v>242</v>
      </c>
      <c r="K139" t="s">
        <v>243</v>
      </c>
    </row>
    <row r="140" spans="1:11" x14ac:dyDescent="0.3">
      <c r="A140" s="3" t="s">
        <v>165</v>
      </c>
      <c r="B140" s="3" t="s">
        <v>10</v>
      </c>
      <c r="C140" s="3" t="s">
        <v>28</v>
      </c>
      <c r="D140" s="3" t="s">
        <v>26</v>
      </c>
      <c r="E140" s="3" t="s">
        <v>18</v>
      </c>
      <c r="F140">
        <v>58</v>
      </c>
      <c r="G140">
        <v>100338.81</v>
      </c>
      <c r="H140">
        <v>7</v>
      </c>
      <c r="I140">
        <v>59</v>
      </c>
      <c r="J140" t="s">
        <v>242</v>
      </c>
      <c r="K140" t="s">
        <v>245</v>
      </c>
    </row>
    <row r="141" spans="1:11" x14ac:dyDescent="0.3">
      <c r="A141" s="3" t="s">
        <v>166</v>
      </c>
      <c r="B141" s="3" t="s">
        <v>31</v>
      </c>
      <c r="C141" s="3" t="s">
        <v>28</v>
      </c>
      <c r="D141" s="3" t="s">
        <v>12</v>
      </c>
      <c r="E141" s="3" t="s">
        <v>13</v>
      </c>
      <c r="F141">
        <v>22</v>
      </c>
      <c r="G141">
        <v>120621.62</v>
      </c>
      <c r="H141">
        <v>21</v>
      </c>
      <c r="I141">
        <v>74</v>
      </c>
      <c r="J141" t="s">
        <v>242</v>
      </c>
      <c r="K141" t="s">
        <v>241</v>
      </c>
    </row>
    <row r="142" spans="1:11" x14ac:dyDescent="0.3">
      <c r="A142" s="3" t="s">
        <v>167</v>
      </c>
      <c r="B142" s="3" t="s">
        <v>10</v>
      </c>
      <c r="C142" s="3" t="s">
        <v>28</v>
      </c>
      <c r="D142" s="3" t="s">
        <v>23</v>
      </c>
      <c r="E142" s="3" t="s">
        <v>18</v>
      </c>
      <c r="F142">
        <v>10</v>
      </c>
      <c r="G142">
        <v>21143.75</v>
      </c>
      <c r="H142">
        <v>2</v>
      </c>
      <c r="I142">
        <v>42</v>
      </c>
      <c r="J142" t="s">
        <v>238</v>
      </c>
      <c r="K142" t="s">
        <v>243</v>
      </c>
    </row>
    <row r="143" spans="1:11" x14ac:dyDescent="0.3">
      <c r="A143" s="3" t="s">
        <v>168</v>
      </c>
      <c r="B143" s="3" t="s">
        <v>31</v>
      </c>
      <c r="C143" s="3" t="s">
        <v>28</v>
      </c>
      <c r="D143" s="3" t="s">
        <v>32</v>
      </c>
      <c r="E143" s="3" t="s">
        <v>29</v>
      </c>
      <c r="F143">
        <v>37</v>
      </c>
      <c r="G143">
        <v>58168.06</v>
      </c>
      <c r="H143">
        <v>3</v>
      </c>
      <c r="I143">
        <v>84</v>
      </c>
      <c r="J143" t="s">
        <v>238</v>
      </c>
      <c r="K143" t="s">
        <v>240</v>
      </c>
    </row>
    <row r="144" spans="1:11" x14ac:dyDescent="0.3">
      <c r="A144" s="3" t="s">
        <v>169</v>
      </c>
      <c r="B144" s="3" t="s">
        <v>15</v>
      </c>
      <c r="C144" s="3" t="s">
        <v>41</v>
      </c>
      <c r="D144" s="3" t="s">
        <v>32</v>
      </c>
      <c r="E144" s="3" t="s">
        <v>13</v>
      </c>
      <c r="F144">
        <v>57</v>
      </c>
      <c r="G144">
        <v>121600.57</v>
      </c>
      <c r="H144">
        <v>19</v>
      </c>
      <c r="I144">
        <v>94</v>
      </c>
      <c r="J144" t="s">
        <v>242</v>
      </c>
      <c r="K144" t="s">
        <v>244</v>
      </c>
    </row>
    <row r="145" spans="1:11" x14ac:dyDescent="0.3">
      <c r="A145" s="3" t="s">
        <v>170</v>
      </c>
      <c r="B145" s="3" t="s">
        <v>25</v>
      </c>
      <c r="C145" s="3" t="s">
        <v>16</v>
      </c>
      <c r="D145" s="3" t="s">
        <v>26</v>
      </c>
      <c r="E145" s="3" t="s">
        <v>18</v>
      </c>
      <c r="F145">
        <v>26</v>
      </c>
      <c r="G145">
        <v>60409.31</v>
      </c>
      <c r="H145">
        <v>25</v>
      </c>
      <c r="I145">
        <v>94</v>
      </c>
      <c r="J145" t="s">
        <v>238</v>
      </c>
      <c r="K145" t="s">
        <v>241</v>
      </c>
    </row>
    <row r="146" spans="1:11" x14ac:dyDescent="0.3">
      <c r="A146" s="3" t="s">
        <v>171</v>
      </c>
      <c r="B146" s="3" t="s">
        <v>10</v>
      </c>
      <c r="C146" s="3" t="s">
        <v>16</v>
      </c>
      <c r="D146" s="3" t="s">
        <v>23</v>
      </c>
      <c r="E146" s="3" t="s">
        <v>18</v>
      </c>
      <c r="F146">
        <v>51</v>
      </c>
      <c r="G146">
        <v>148766.01</v>
      </c>
      <c r="H146">
        <v>21</v>
      </c>
      <c r="I146">
        <v>76</v>
      </c>
      <c r="J146" t="s">
        <v>242</v>
      </c>
      <c r="K146" t="s">
        <v>243</v>
      </c>
    </row>
    <row r="147" spans="1:11" x14ac:dyDescent="0.3">
      <c r="A147" s="3" t="s">
        <v>172</v>
      </c>
      <c r="B147" s="3" t="s">
        <v>10</v>
      </c>
      <c r="C147" s="3" t="s">
        <v>28</v>
      </c>
      <c r="D147" s="3" t="s">
        <v>26</v>
      </c>
      <c r="E147" s="3" t="s">
        <v>18</v>
      </c>
      <c r="F147">
        <v>1</v>
      </c>
      <c r="G147">
        <v>46211.03</v>
      </c>
      <c r="H147">
        <v>4</v>
      </c>
      <c r="I147">
        <v>97</v>
      </c>
      <c r="J147" t="s">
        <v>238</v>
      </c>
      <c r="K147" t="s">
        <v>241</v>
      </c>
    </row>
    <row r="148" spans="1:11" x14ac:dyDescent="0.3">
      <c r="A148" s="3" t="s">
        <v>173</v>
      </c>
      <c r="B148" s="3" t="s">
        <v>36</v>
      </c>
      <c r="C148" s="3" t="s">
        <v>11</v>
      </c>
      <c r="D148" s="3" t="s">
        <v>26</v>
      </c>
      <c r="E148" s="3" t="s">
        <v>18</v>
      </c>
      <c r="F148">
        <v>61</v>
      </c>
      <c r="G148">
        <v>32781.94</v>
      </c>
      <c r="H148">
        <v>1</v>
      </c>
      <c r="I148">
        <v>83</v>
      </c>
      <c r="J148" t="s">
        <v>238</v>
      </c>
      <c r="K148" t="s">
        <v>240</v>
      </c>
    </row>
    <row r="149" spans="1:11" x14ac:dyDescent="0.3">
      <c r="A149" s="3" t="s">
        <v>174</v>
      </c>
      <c r="B149" s="3" t="s">
        <v>36</v>
      </c>
      <c r="C149" s="3" t="s">
        <v>16</v>
      </c>
      <c r="D149" s="3" t="s">
        <v>17</v>
      </c>
      <c r="E149" s="3" t="s">
        <v>29</v>
      </c>
      <c r="F149">
        <v>34</v>
      </c>
      <c r="G149">
        <v>139264.72</v>
      </c>
      <c r="H149">
        <v>14</v>
      </c>
      <c r="I149">
        <v>72</v>
      </c>
      <c r="J149" t="s">
        <v>242</v>
      </c>
      <c r="K149" t="s">
        <v>245</v>
      </c>
    </row>
    <row r="150" spans="1:11" x14ac:dyDescent="0.3">
      <c r="A150" s="3" t="s">
        <v>175</v>
      </c>
      <c r="B150" s="3" t="s">
        <v>15</v>
      </c>
      <c r="C150" s="3" t="s">
        <v>11</v>
      </c>
      <c r="D150" s="3" t="s">
        <v>32</v>
      </c>
      <c r="E150" s="3" t="s">
        <v>13</v>
      </c>
      <c r="F150">
        <v>78</v>
      </c>
      <c r="G150">
        <v>15165.98</v>
      </c>
      <c r="H150">
        <v>25</v>
      </c>
      <c r="I150">
        <v>86</v>
      </c>
      <c r="J150" t="s">
        <v>238</v>
      </c>
      <c r="K150" t="s">
        <v>244</v>
      </c>
    </row>
    <row r="151" spans="1:11" x14ac:dyDescent="0.3">
      <c r="A151" s="3" t="s">
        <v>176</v>
      </c>
      <c r="B151" s="3" t="s">
        <v>10</v>
      </c>
      <c r="C151" s="3" t="s">
        <v>28</v>
      </c>
      <c r="D151" s="3" t="s">
        <v>17</v>
      </c>
      <c r="E151" s="3" t="s">
        <v>18</v>
      </c>
      <c r="F151">
        <v>73</v>
      </c>
      <c r="G151">
        <v>133910.69</v>
      </c>
      <c r="H151">
        <v>22</v>
      </c>
      <c r="I151">
        <v>87</v>
      </c>
      <c r="J151" t="s">
        <v>242</v>
      </c>
      <c r="K151" t="s">
        <v>239</v>
      </c>
    </row>
    <row r="152" spans="1:11" x14ac:dyDescent="0.3">
      <c r="A152" s="3" t="s">
        <v>177</v>
      </c>
      <c r="B152" s="3" t="s">
        <v>25</v>
      </c>
      <c r="C152" s="3" t="s">
        <v>28</v>
      </c>
      <c r="D152" s="3" t="s">
        <v>12</v>
      </c>
      <c r="E152" s="3" t="s">
        <v>18</v>
      </c>
      <c r="F152">
        <v>8</v>
      </c>
      <c r="G152">
        <v>82835.539999999994</v>
      </c>
      <c r="H152">
        <v>24</v>
      </c>
      <c r="I152">
        <v>94</v>
      </c>
      <c r="J152" t="s">
        <v>242</v>
      </c>
      <c r="K152" t="s">
        <v>245</v>
      </c>
    </row>
    <row r="153" spans="1:11" x14ac:dyDescent="0.3">
      <c r="A153" s="3" t="s">
        <v>178</v>
      </c>
      <c r="B153" s="3" t="s">
        <v>10</v>
      </c>
      <c r="C153" s="3" t="s">
        <v>16</v>
      </c>
      <c r="D153" s="3" t="s">
        <v>32</v>
      </c>
      <c r="E153" s="3" t="s">
        <v>18</v>
      </c>
      <c r="F153">
        <v>16</v>
      </c>
      <c r="G153">
        <v>109945.06</v>
      </c>
      <c r="H153">
        <v>23</v>
      </c>
      <c r="I153">
        <v>76</v>
      </c>
      <c r="J153" t="s">
        <v>242</v>
      </c>
      <c r="K153" t="s">
        <v>240</v>
      </c>
    </row>
    <row r="154" spans="1:11" x14ac:dyDescent="0.3">
      <c r="A154" s="3" t="s">
        <v>179</v>
      </c>
      <c r="B154" s="3" t="s">
        <v>10</v>
      </c>
      <c r="C154" s="3" t="s">
        <v>16</v>
      </c>
      <c r="D154" s="3" t="s">
        <v>26</v>
      </c>
      <c r="E154" s="3" t="s">
        <v>29</v>
      </c>
      <c r="F154">
        <v>3</v>
      </c>
      <c r="G154">
        <v>40894.400000000001</v>
      </c>
      <c r="H154">
        <v>20</v>
      </c>
      <c r="I154">
        <v>46</v>
      </c>
      <c r="J154" t="s">
        <v>238</v>
      </c>
      <c r="K154" t="s">
        <v>246</v>
      </c>
    </row>
    <row r="155" spans="1:11" x14ac:dyDescent="0.3">
      <c r="A155" s="3" t="s">
        <v>180</v>
      </c>
      <c r="B155" s="3" t="s">
        <v>10</v>
      </c>
      <c r="C155" s="3" t="s">
        <v>16</v>
      </c>
      <c r="D155" s="3" t="s">
        <v>26</v>
      </c>
      <c r="E155" s="3" t="s">
        <v>29</v>
      </c>
      <c r="F155">
        <v>28</v>
      </c>
      <c r="G155">
        <v>5522.04</v>
      </c>
      <c r="H155">
        <v>20</v>
      </c>
      <c r="I155">
        <v>95</v>
      </c>
      <c r="J155" t="s">
        <v>238</v>
      </c>
      <c r="K155" t="s">
        <v>240</v>
      </c>
    </row>
    <row r="156" spans="1:11" x14ac:dyDescent="0.3">
      <c r="A156" s="3" t="s">
        <v>181</v>
      </c>
      <c r="B156" s="3" t="s">
        <v>22</v>
      </c>
      <c r="C156" s="3" t="s">
        <v>41</v>
      </c>
      <c r="D156" s="3" t="s">
        <v>26</v>
      </c>
      <c r="E156" s="3" t="s">
        <v>18</v>
      </c>
      <c r="F156">
        <v>38</v>
      </c>
      <c r="G156">
        <v>121567.96</v>
      </c>
      <c r="H156">
        <v>26</v>
      </c>
      <c r="I156">
        <v>65</v>
      </c>
      <c r="J156" t="s">
        <v>242</v>
      </c>
      <c r="K156" t="s">
        <v>243</v>
      </c>
    </row>
    <row r="157" spans="1:11" x14ac:dyDescent="0.3">
      <c r="A157" s="3" t="s">
        <v>182</v>
      </c>
      <c r="B157" s="3" t="s">
        <v>10</v>
      </c>
      <c r="C157" s="3" t="s">
        <v>41</v>
      </c>
      <c r="D157" s="3" t="s">
        <v>32</v>
      </c>
      <c r="E157" s="3" t="s">
        <v>13</v>
      </c>
      <c r="F157">
        <v>2</v>
      </c>
      <c r="G157">
        <v>14606.74</v>
      </c>
      <c r="H157">
        <v>30</v>
      </c>
      <c r="I157">
        <v>75</v>
      </c>
      <c r="J157" t="s">
        <v>238</v>
      </c>
      <c r="K157" t="s">
        <v>244</v>
      </c>
    </row>
    <row r="158" spans="1:11" x14ac:dyDescent="0.3">
      <c r="A158" s="3" t="s">
        <v>183</v>
      </c>
      <c r="B158" s="3" t="s">
        <v>15</v>
      </c>
      <c r="C158" s="3" t="s">
        <v>28</v>
      </c>
      <c r="D158" s="3" t="s">
        <v>23</v>
      </c>
      <c r="E158" s="3" t="s">
        <v>18</v>
      </c>
      <c r="F158">
        <v>6</v>
      </c>
      <c r="G158">
        <v>116568.72</v>
      </c>
      <c r="H158">
        <v>24</v>
      </c>
      <c r="I158">
        <v>65</v>
      </c>
      <c r="J158" t="s">
        <v>242</v>
      </c>
      <c r="K158" t="s">
        <v>240</v>
      </c>
    </row>
    <row r="159" spans="1:11" x14ac:dyDescent="0.3">
      <c r="A159" s="3" t="s">
        <v>184</v>
      </c>
      <c r="B159" s="3" t="s">
        <v>25</v>
      </c>
      <c r="C159" s="3" t="s">
        <v>16</v>
      </c>
      <c r="D159" s="3" t="s">
        <v>32</v>
      </c>
      <c r="E159" s="3" t="s">
        <v>18</v>
      </c>
      <c r="F159">
        <v>33</v>
      </c>
      <c r="G159">
        <v>70189.8</v>
      </c>
      <c r="H159">
        <v>14</v>
      </c>
      <c r="I159">
        <v>88</v>
      </c>
      <c r="J159" t="s">
        <v>238</v>
      </c>
      <c r="K159" t="s">
        <v>240</v>
      </c>
    </row>
    <row r="160" spans="1:11" x14ac:dyDescent="0.3">
      <c r="A160" s="3" t="s">
        <v>185</v>
      </c>
      <c r="B160" s="3" t="s">
        <v>36</v>
      </c>
      <c r="C160" s="3" t="s">
        <v>16</v>
      </c>
      <c r="D160" s="3" t="s">
        <v>26</v>
      </c>
      <c r="E160" s="3" t="s">
        <v>29</v>
      </c>
      <c r="F160">
        <v>28</v>
      </c>
      <c r="G160">
        <v>136392.39000000001</v>
      </c>
      <c r="H160">
        <v>22</v>
      </c>
      <c r="I160">
        <v>77</v>
      </c>
      <c r="J160" t="s">
        <v>242</v>
      </c>
      <c r="K160" t="s">
        <v>244</v>
      </c>
    </row>
    <row r="161" spans="1:11" x14ac:dyDescent="0.3">
      <c r="A161" s="3" t="s">
        <v>186</v>
      </c>
      <c r="B161" s="3" t="s">
        <v>36</v>
      </c>
      <c r="C161" s="3" t="s">
        <v>41</v>
      </c>
      <c r="D161" s="3" t="s">
        <v>26</v>
      </c>
      <c r="E161" s="3" t="s">
        <v>29</v>
      </c>
      <c r="F161">
        <v>56</v>
      </c>
      <c r="G161">
        <v>139281.34</v>
      </c>
      <c r="H161">
        <v>24</v>
      </c>
      <c r="I161">
        <v>96</v>
      </c>
      <c r="J161" t="s">
        <v>242</v>
      </c>
      <c r="K161" t="s">
        <v>243</v>
      </c>
    </row>
    <row r="162" spans="1:11" x14ac:dyDescent="0.3">
      <c r="A162" s="3" t="s">
        <v>187</v>
      </c>
      <c r="B162" s="3" t="s">
        <v>15</v>
      </c>
      <c r="C162" s="3" t="s">
        <v>11</v>
      </c>
      <c r="D162" s="3" t="s">
        <v>26</v>
      </c>
      <c r="E162" s="3" t="s">
        <v>18</v>
      </c>
      <c r="F162">
        <v>80</v>
      </c>
      <c r="G162">
        <v>140818.37</v>
      </c>
      <c r="H162">
        <v>9</v>
      </c>
      <c r="I162">
        <v>42</v>
      </c>
      <c r="J162" t="s">
        <v>242</v>
      </c>
      <c r="K162" t="s">
        <v>241</v>
      </c>
    </row>
    <row r="163" spans="1:11" x14ac:dyDescent="0.3">
      <c r="A163" s="3" t="s">
        <v>188</v>
      </c>
      <c r="B163" s="3" t="s">
        <v>31</v>
      </c>
      <c r="C163" s="3" t="s">
        <v>41</v>
      </c>
      <c r="D163" s="3" t="s">
        <v>17</v>
      </c>
      <c r="E163" s="3" t="s">
        <v>18</v>
      </c>
      <c r="F163">
        <v>74</v>
      </c>
      <c r="G163">
        <v>56018.43</v>
      </c>
      <c r="H163">
        <v>7</v>
      </c>
      <c r="I163">
        <v>77</v>
      </c>
      <c r="J163" t="s">
        <v>238</v>
      </c>
      <c r="K163" t="s">
        <v>239</v>
      </c>
    </row>
    <row r="164" spans="1:11" x14ac:dyDescent="0.3">
      <c r="A164" s="3" t="s">
        <v>189</v>
      </c>
      <c r="B164" s="3" t="s">
        <v>22</v>
      </c>
      <c r="C164" s="3" t="s">
        <v>41</v>
      </c>
      <c r="D164" s="3" t="s">
        <v>32</v>
      </c>
      <c r="E164" s="3" t="s">
        <v>29</v>
      </c>
      <c r="F164">
        <v>72</v>
      </c>
      <c r="G164">
        <v>144841.74</v>
      </c>
      <c r="H164">
        <v>5</v>
      </c>
      <c r="I164">
        <v>57</v>
      </c>
      <c r="J164" t="s">
        <v>242</v>
      </c>
      <c r="K164" t="s">
        <v>245</v>
      </c>
    </row>
    <row r="165" spans="1:11" x14ac:dyDescent="0.3">
      <c r="A165" s="3" t="s">
        <v>190</v>
      </c>
      <c r="B165" s="3" t="s">
        <v>31</v>
      </c>
      <c r="C165" s="3" t="s">
        <v>11</v>
      </c>
      <c r="D165" s="3" t="s">
        <v>23</v>
      </c>
      <c r="E165" s="3" t="s">
        <v>18</v>
      </c>
      <c r="F165">
        <v>14</v>
      </c>
      <c r="G165">
        <v>123398.79</v>
      </c>
      <c r="H165">
        <v>21</v>
      </c>
      <c r="I165">
        <v>77</v>
      </c>
      <c r="J165" t="s">
        <v>242</v>
      </c>
      <c r="K165" t="s">
        <v>245</v>
      </c>
    </row>
    <row r="166" spans="1:11" x14ac:dyDescent="0.3">
      <c r="A166" s="3" t="s">
        <v>191</v>
      </c>
      <c r="B166" s="3" t="s">
        <v>15</v>
      </c>
      <c r="C166" s="3" t="s">
        <v>41</v>
      </c>
      <c r="D166" s="3" t="s">
        <v>32</v>
      </c>
      <c r="E166" s="3" t="s">
        <v>18</v>
      </c>
      <c r="F166">
        <v>48</v>
      </c>
      <c r="G166">
        <v>10911.55</v>
      </c>
      <c r="H166">
        <v>19</v>
      </c>
      <c r="I166">
        <v>47</v>
      </c>
      <c r="J166" t="s">
        <v>238</v>
      </c>
      <c r="K166" t="s">
        <v>246</v>
      </c>
    </row>
    <row r="167" spans="1:11" x14ac:dyDescent="0.3">
      <c r="A167" s="3" t="s">
        <v>192</v>
      </c>
      <c r="B167" s="3" t="s">
        <v>36</v>
      </c>
      <c r="C167" s="3" t="s">
        <v>16</v>
      </c>
      <c r="D167" s="3" t="s">
        <v>32</v>
      </c>
      <c r="E167" s="3" t="s">
        <v>13</v>
      </c>
      <c r="F167">
        <v>87</v>
      </c>
      <c r="G167">
        <v>96532.96</v>
      </c>
      <c r="H167">
        <v>7</v>
      </c>
      <c r="I167">
        <v>93</v>
      </c>
      <c r="J167" t="s">
        <v>242</v>
      </c>
      <c r="K167" t="s">
        <v>241</v>
      </c>
    </row>
    <row r="168" spans="1:11" x14ac:dyDescent="0.3">
      <c r="A168" s="3" t="s">
        <v>193</v>
      </c>
      <c r="B168" s="3" t="s">
        <v>15</v>
      </c>
      <c r="C168" s="3" t="s">
        <v>41</v>
      </c>
      <c r="D168" s="3" t="s">
        <v>32</v>
      </c>
      <c r="E168" s="3" t="s">
        <v>29</v>
      </c>
      <c r="F168">
        <v>49</v>
      </c>
      <c r="G168">
        <v>126056.09</v>
      </c>
      <c r="H168">
        <v>11</v>
      </c>
      <c r="I168">
        <v>78</v>
      </c>
      <c r="J168" t="s">
        <v>242</v>
      </c>
      <c r="K168" t="s">
        <v>239</v>
      </c>
    </row>
    <row r="169" spans="1:11" x14ac:dyDescent="0.3">
      <c r="A169" s="3" t="s">
        <v>194</v>
      </c>
      <c r="B169" s="3" t="s">
        <v>36</v>
      </c>
      <c r="C169" s="3" t="s">
        <v>41</v>
      </c>
      <c r="D169" s="3" t="s">
        <v>32</v>
      </c>
      <c r="E169" s="3" t="s">
        <v>29</v>
      </c>
      <c r="F169">
        <v>42</v>
      </c>
      <c r="G169">
        <v>92788.13</v>
      </c>
      <c r="H169">
        <v>4</v>
      </c>
      <c r="I169">
        <v>41</v>
      </c>
      <c r="J169" t="s">
        <v>242</v>
      </c>
      <c r="K169" t="s">
        <v>241</v>
      </c>
    </row>
    <row r="170" spans="1:11" x14ac:dyDescent="0.3">
      <c r="A170" s="3" t="s">
        <v>195</v>
      </c>
      <c r="B170" s="3" t="s">
        <v>15</v>
      </c>
      <c r="C170" s="3" t="s">
        <v>11</v>
      </c>
      <c r="D170" s="3" t="s">
        <v>26</v>
      </c>
      <c r="E170" s="3" t="s">
        <v>18</v>
      </c>
      <c r="F170">
        <v>36</v>
      </c>
      <c r="G170">
        <v>24614.639999999999</v>
      </c>
      <c r="H170">
        <v>30</v>
      </c>
      <c r="I170">
        <v>57</v>
      </c>
      <c r="J170" t="s">
        <v>238</v>
      </c>
      <c r="K170" t="s">
        <v>244</v>
      </c>
    </row>
    <row r="171" spans="1:11" x14ac:dyDescent="0.3">
      <c r="A171" s="3" t="s">
        <v>196</v>
      </c>
      <c r="B171" s="3" t="s">
        <v>31</v>
      </c>
      <c r="C171" s="3" t="s">
        <v>11</v>
      </c>
      <c r="D171" s="3" t="s">
        <v>12</v>
      </c>
      <c r="E171" s="3" t="s">
        <v>29</v>
      </c>
      <c r="F171">
        <v>56</v>
      </c>
      <c r="G171">
        <v>36862.400000000001</v>
      </c>
      <c r="H171">
        <v>28</v>
      </c>
      <c r="I171">
        <v>66</v>
      </c>
      <c r="J171" t="s">
        <v>238</v>
      </c>
      <c r="K171" t="s">
        <v>244</v>
      </c>
    </row>
    <row r="172" spans="1:11" x14ac:dyDescent="0.3">
      <c r="A172" s="3" t="s">
        <v>197</v>
      </c>
      <c r="B172" s="3" t="s">
        <v>10</v>
      </c>
      <c r="C172" s="3" t="s">
        <v>16</v>
      </c>
      <c r="D172" s="3" t="s">
        <v>12</v>
      </c>
      <c r="E172" s="3" t="s">
        <v>18</v>
      </c>
      <c r="F172">
        <v>39</v>
      </c>
      <c r="G172">
        <v>84065.42</v>
      </c>
      <c r="H172">
        <v>28</v>
      </c>
      <c r="I172">
        <v>50</v>
      </c>
      <c r="J172" t="s">
        <v>242</v>
      </c>
      <c r="K172" t="s">
        <v>241</v>
      </c>
    </row>
    <row r="173" spans="1:11" x14ac:dyDescent="0.3">
      <c r="A173" s="3" t="s">
        <v>198</v>
      </c>
      <c r="B173" s="3" t="s">
        <v>10</v>
      </c>
      <c r="C173" s="3" t="s">
        <v>41</v>
      </c>
      <c r="D173" s="3" t="s">
        <v>12</v>
      </c>
      <c r="E173" s="3" t="s">
        <v>29</v>
      </c>
      <c r="F173">
        <v>42</v>
      </c>
      <c r="G173">
        <v>83047.11</v>
      </c>
      <c r="H173">
        <v>13</v>
      </c>
      <c r="I173">
        <v>50</v>
      </c>
      <c r="J173" t="s">
        <v>242</v>
      </c>
      <c r="K173" t="s">
        <v>244</v>
      </c>
    </row>
    <row r="174" spans="1:11" x14ac:dyDescent="0.3">
      <c r="A174" s="3" t="s">
        <v>199</v>
      </c>
      <c r="B174" s="3" t="s">
        <v>10</v>
      </c>
      <c r="C174" s="3" t="s">
        <v>11</v>
      </c>
      <c r="D174" s="3" t="s">
        <v>26</v>
      </c>
      <c r="E174" s="3" t="s">
        <v>29</v>
      </c>
      <c r="F174">
        <v>59</v>
      </c>
      <c r="G174">
        <v>96326.11</v>
      </c>
      <c r="H174">
        <v>17</v>
      </c>
      <c r="I174">
        <v>82</v>
      </c>
      <c r="J174" t="s">
        <v>242</v>
      </c>
      <c r="K174" t="s">
        <v>244</v>
      </c>
    </row>
    <row r="175" spans="1:11" x14ac:dyDescent="0.3">
      <c r="A175" s="3" t="s">
        <v>200</v>
      </c>
      <c r="B175" s="3" t="s">
        <v>36</v>
      </c>
      <c r="C175" s="3" t="s">
        <v>41</v>
      </c>
      <c r="D175" s="3" t="s">
        <v>12</v>
      </c>
      <c r="E175" s="3" t="s">
        <v>18</v>
      </c>
      <c r="F175">
        <v>67</v>
      </c>
      <c r="G175">
        <v>49487.73</v>
      </c>
      <c r="H175">
        <v>27</v>
      </c>
      <c r="I175">
        <v>72</v>
      </c>
      <c r="J175" t="s">
        <v>238</v>
      </c>
      <c r="K175" t="s">
        <v>241</v>
      </c>
    </row>
    <row r="176" spans="1:11" x14ac:dyDescent="0.3">
      <c r="A176" s="3" t="s">
        <v>201</v>
      </c>
      <c r="B176" s="3" t="s">
        <v>10</v>
      </c>
      <c r="C176" s="3" t="s">
        <v>41</v>
      </c>
      <c r="D176" s="3" t="s">
        <v>17</v>
      </c>
      <c r="E176" s="3" t="s">
        <v>18</v>
      </c>
      <c r="F176">
        <v>11</v>
      </c>
      <c r="G176">
        <v>18263.25</v>
      </c>
      <c r="H176">
        <v>29</v>
      </c>
      <c r="I176">
        <v>83</v>
      </c>
      <c r="J176" t="s">
        <v>238</v>
      </c>
      <c r="K176" t="s">
        <v>245</v>
      </c>
    </row>
    <row r="177" spans="1:11" x14ac:dyDescent="0.3">
      <c r="A177" s="3" t="s">
        <v>202</v>
      </c>
      <c r="B177" s="3" t="s">
        <v>31</v>
      </c>
      <c r="C177" s="3" t="s">
        <v>28</v>
      </c>
      <c r="D177" s="3" t="s">
        <v>12</v>
      </c>
      <c r="E177" s="3" t="s">
        <v>13</v>
      </c>
      <c r="F177">
        <v>3</v>
      </c>
      <c r="G177">
        <v>149013.84</v>
      </c>
      <c r="H177">
        <v>26</v>
      </c>
      <c r="I177">
        <v>93</v>
      </c>
      <c r="J177" t="s">
        <v>242</v>
      </c>
      <c r="K177" t="s">
        <v>240</v>
      </c>
    </row>
    <row r="178" spans="1:11" x14ac:dyDescent="0.3">
      <c r="A178" s="3" t="s">
        <v>203</v>
      </c>
      <c r="B178" s="3" t="s">
        <v>22</v>
      </c>
      <c r="C178" s="3" t="s">
        <v>16</v>
      </c>
      <c r="D178" s="3" t="s">
        <v>26</v>
      </c>
      <c r="E178" s="3" t="s">
        <v>29</v>
      </c>
      <c r="F178">
        <v>69</v>
      </c>
      <c r="G178">
        <v>46708.35</v>
      </c>
      <c r="H178">
        <v>1</v>
      </c>
      <c r="I178">
        <v>88</v>
      </c>
      <c r="J178" t="s">
        <v>238</v>
      </c>
      <c r="K178" t="s">
        <v>240</v>
      </c>
    </row>
    <row r="179" spans="1:11" x14ac:dyDescent="0.3">
      <c r="A179" s="3" t="s">
        <v>204</v>
      </c>
      <c r="B179" s="3" t="s">
        <v>25</v>
      </c>
      <c r="C179" s="3" t="s">
        <v>11</v>
      </c>
      <c r="D179" s="3" t="s">
        <v>17</v>
      </c>
      <c r="E179" s="3" t="s">
        <v>18</v>
      </c>
      <c r="F179">
        <v>54</v>
      </c>
      <c r="G179">
        <v>68133.7</v>
      </c>
      <c r="H179">
        <v>9</v>
      </c>
      <c r="I179">
        <v>60</v>
      </c>
      <c r="J179" t="s">
        <v>238</v>
      </c>
      <c r="K179" t="s">
        <v>245</v>
      </c>
    </row>
    <row r="180" spans="1:11" x14ac:dyDescent="0.3">
      <c r="A180" s="3" t="s">
        <v>205</v>
      </c>
      <c r="B180" s="3" t="s">
        <v>36</v>
      </c>
      <c r="C180" s="3" t="s">
        <v>28</v>
      </c>
      <c r="D180" s="3" t="s">
        <v>12</v>
      </c>
      <c r="E180" s="3" t="s">
        <v>18</v>
      </c>
      <c r="F180">
        <v>82</v>
      </c>
      <c r="G180">
        <v>19213.509999999998</v>
      </c>
      <c r="H180">
        <v>26</v>
      </c>
      <c r="I180">
        <v>96</v>
      </c>
      <c r="J180" t="s">
        <v>238</v>
      </c>
      <c r="K180" t="s">
        <v>241</v>
      </c>
    </row>
    <row r="181" spans="1:11" x14ac:dyDescent="0.3">
      <c r="A181" s="3" t="s">
        <v>206</v>
      </c>
      <c r="B181" s="3" t="s">
        <v>25</v>
      </c>
      <c r="C181" s="3" t="s">
        <v>41</v>
      </c>
      <c r="D181" s="3" t="s">
        <v>26</v>
      </c>
      <c r="E181" s="3" t="s">
        <v>18</v>
      </c>
      <c r="F181">
        <v>60</v>
      </c>
      <c r="G181">
        <v>22138.22</v>
      </c>
      <c r="H181">
        <v>3</v>
      </c>
      <c r="I181">
        <v>96</v>
      </c>
      <c r="J181" t="s">
        <v>238</v>
      </c>
      <c r="K181" t="s">
        <v>239</v>
      </c>
    </row>
    <row r="182" spans="1:11" x14ac:dyDescent="0.3">
      <c r="A182" s="3" t="s">
        <v>207</v>
      </c>
      <c r="B182" s="3" t="s">
        <v>22</v>
      </c>
      <c r="C182" s="3" t="s">
        <v>16</v>
      </c>
      <c r="D182" s="3" t="s">
        <v>17</v>
      </c>
      <c r="E182" s="3" t="s">
        <v>18</v>
      </c>
      <c r="F182">
        <v>65</v>
      </c>
      <c r="G182">
        <v>30460.26</v>
      </c>
      <c r="H182">
        <v>21</v>
      </c>
      <c r="I182">
        <v>63</v>
      </c>
      <c r="J182" t="s">
        <v>238</v>
      </c>
      <c r="K182" t="s">
        <v>245</v>
      </c>
    </row>
    <row r="183" spans="1:11" x14ac:dyDescent="0.3">
      <c r="A183" s="3" t="s">
        <v>208</v>
      </c>
      <c r="B183" s="3" t="s">
        <v>15</v>
      </c>
      <c r="C183" s="3" t="s">
        <v>28</v>
      </c>
      <c r="D183" s="3" t="s">
        <v>23</v>
      </c>
      <c r="E183" s="3" t="s">
        <v>18</v>
      </c>
      <c r="F183">
        <v>5</v>
      </c>
      <c r="G183">
        <v>52772.62</v>
      </c>
      <c r="H183">
        <v>9</v>
      </c>
      <c r="I183">
        <v>62</v>
      </c>
      <c r="J183" t="s">
        <v>238</v>
      </c>
      <c r="K183" t="s">
        <v>245</v>
      </c>
    </row>
    <row r="184" spans="1:11" x14ac:dyDescent="0.3">
      <c r="A184" s="3" t="s">
        <v>209</v>
      </c>
      <c r="B184" s="3" t="s">
        <v>22</v>
      </c>
      <c r="C184" s="3" t="s">
        <v>28</v>
      </c>
      <c r="D184" s="3" t="s">
        <v>17</v>
      </c>
      <c r="E184" s="3" t="s">
        <v>18</v>
      </c>
      <c r="F184">
        <v>54</v>
      </c>
      <c r="G184">
        <v>118241.71</v>
      </c>
      <c r="H184">
        <v>24</v>
      </c>
      <c r="I184">
        <v>81</v>
      </c>
      <c r="J184" t="s">
        <v>242</v>
      </c>
      <c r="K184" t="s">
        <v>240</v>
      </c>
    </row>
    <row r="185" spans="1:11" x14ac:dyDescent="0.3">
      <c r="A185" s="3" t="s">
        <v>210</v>
      </c>
      <c r="B185" s="3" t="s">
        <v>10</v>
      </c>
      <c r="C185" s="3" t="s">
        <v>16</v>
      </c>
      <c r="D185" s="3" t="s">
        <v>32</v>
      </c>
      <c r="E185" s="3" t="s">
        <v>18</v>
      </c>
      <c r="F185">
        <v>64</v>
      </c>
      <c r="G185">
        <v>19477.689999999999</v>
      </c>
      <c r="H185">
        <v>6</v>
      </c>
      <c r="I185">
        <v>65</v>
      </c>
      <c r="J185" t="s">
        <v>238</v>
      </c>
      <c r="K185" t="s">
        <v>241</v>
      </c>
    </row>
    <row r="186" spans="1:11" x14ac:dyDescent="0.3">
      <c r="A186" s="3" t="s">
        <v>211</v>
      </c>
      <c r="B186" s="3" t="s">
        <v>36</v>
      </c>
      <c r="C186" s="3" t="s">
        <v>28</v>
      </c>
      <c r="D186" s="3" t="s">
        <v>23</v>
      </c>
      <c r="E186" s="3" t="s">
        <v>13</v>
      </c>
      <c r="F186">
        <v>77</v>
      </c>
      <c r="G186">
        <v>114541.22</v>
      </c>
      <c r="H186">
        <v>25</v>
      </c>
      <c r="I186">
        <v>69</v>
      </c>
      <c r="J186" t="s">
        <v>242</v>
      </c>
      <c r="K186" t="s">
        <v>245</v>
      </c>
    </row>
    <row r="187" spans="1:11" x14ac:dyDescent="0.3">
      <c r="A187" s="3" t="s">
        <v>212</v>
      </c>
      <c r="B187" s="3" t="s">
        <v>36</v>
      </c>
      <c r="C187" s="3" t="s">
        <v>11</v>
      </c>
      <c r="D187" s="3" t="s">
        <v>26</v>
      </c>
      <c r="E187" s="3" t="s">
        <v>13</v>
      </c>
      <c r="F187">
        <v>72</v>
      </c>
      <c r="G187">
        <v>56437.97</v>
      </c>
      <c r="H187">
        <v>21</v>
      </c>
      <c r="I187">
        <v>78</v>
      </c>
      <c r="J187" t="s">
        <v>238</v>
      </c>
      <c r="K187" t="s">
        <v>239</v>
      </c>
    </row>
    <row r="188" spans="1:11" x14ac:dyDescent="0.3">
      <c r="A188" s="3" t="s">
        <v>213</v>
      </c>
      <c r="B188" s="3" t="s">
        <v>31</v>
      </c>
      <c r="C188" s="3" t="s">
        <v>16</v>
      </c>
      <c r="D188" s="3" t="s">
        <v>17</v>
      </c>
      <c r="E188" s="3" t="s">
        <v>18</v>
      </c>
      <c r="F188">
        <v>86</v>
      </c>
      <c r="G188">
        <v>53586.34</v>
      </c>
      <c r="H188">
        <v>22</v>
      </c>
      <c r="I188">
        <v>96</v>
      </c>
      <c r="J188" t="s">
        <v>238</v>
      </c>
      <c r="K188" t="s">
        <v>245</v>
      </c>
    </row>
    <row r="189" spans="1:11" x14ac:dyDescent="0.3">
      <c r="A189" s="3" t="s">
        <v>214</v>
      </c>
      <c r="B189" s="3" t="s">
        <v>10</v>
      </c>
      <c r="C189" s="3" t="s">
        <v>41</v>
      </c>
      <c r="D189" s="3" t="s">
        <v>17</v>
      </c>
      <c r="E189" s="3" t="s">
        <v>13</v>
      </c>
      <c r="F189">
        <v>62</v>
      </c>
      <c r="G189">
        <v>13836.03</v>
      </c>
      <c r="H189">
        <v>15</v>
      </c>
      <c r="I189">
        <v>60</v>
      </c>
      <c r="J189" t="s">
        <v>238</v>
      </c>
      <c r="K189" t="s">
        <v>239</v>
      </c>
    </row>
    <row r="190" spans="1:11" x14ac:dyDescent="0.3">
      <c r="A190" s="3" t="s">
        <v>215</v>
      </c>
      <c r="B190" s="3" t="s">
        <v>15</v>
      </c>
      <c r="C190" s="3" t="s">
        <v>28</v>
      </c>
      <c r="D190" s="3" t="s">
        <v>23</v>
      </c>
      <c r="E190" s="3" t="s">
        <v>18</v>
      </c>
      <c r="F190">
        <v>38</v>
      </c>
      <c r="G190">
        <v>54960.36</v>
      </c>
      <c r="H190">
        <v>26</v>
      </c>
      <c r="I190">
        <v>61</v>
      </c>
      <c r="J190" t="s">
        <v>238</v>
      </c>
      <c r="K190" t="s">
        <v>245</v>
      </c>
    </row>
    <row r="191" spans="1:11" x14ac:dyDescent="0.3">
      <c r="A191" s="3" t="s">
        <v>216</v>
      </c>
      <c r="B191" s="3" t="s">
        <v>15</v>
      </c>
      <c r="C191" s="3" t="s">
        <v>16</v>
      </c>
      <c r="D191" s="3" t="s">
        <v>32</v>
      </c>
      <c r="E191" s="3" t="s">
        <v>13</v>
      </c>
      <c r="F191">
        <v>70</v>
      </c>
      <c r="G191">
        <v>92629.07</v>
      </c>
      <c r="H191">
        <v>11</v>
      </c>
      <c r="I191">
        <v>96</v>
      </c>
      <c r="J191" t="s">
        <v>242</v>
      </c>
      <c r="K191" t="s">
        <v>244</v>
      </c>
    </row>
    <row r="192" spans="1:11" x14ac:dyDescent="0.3">
      <c r="A192" s="3" t="s">
        <v>217</v>
      </c>
      <c r="B192" s="3" t="s">
        <v>25</v>
      </c>
      <c r="C192" s="3" t="s">
        <v>41</v>
      </c>
      <c r="D192" s="3" t="s">
        <v>32</v>
      </c>
      <c r="E192" s="3" t="s">
        <v>29</v>
      </c>
      <c r="F192">
        <v>52</v>
      </c>
      <c r="G192">
        <v>69945.08</v>
      </c>
      <c r="H192">
        <v>8</v>
      </c>
      <c r="I192">
        <v>80</v>
      </c>
      <c r="J192" t="s">
        <v>238</v>
      </c>
      <c r="K192" t="s">
        <v>245</v>
      </c>
    </row>
    <row r="193" spans="1:12" x14ac:dyDescent="0.3">
      <c r="A193" s="3" t="s">
        <v>218</v>
      </c>
      <c r="B193" s="3" t="s">
        <v>22</v>
      </c>
      <c r="C193" s="3" t="s">
        <v>16</v>
      </c>
      <c r="D193" s="3" t="s">
        <v>12</v>
      </c>
      <c r="E193" s="3" t="s">
        <v>13</v>
      </c>
      <c r="F193">
        <v>62</v>
      </c>
      <c r="G193">
        <v>132120.79</v>
      </c>
      <c r="H193">
        <v>25</v>
      </c>
      <c r="I193">
        <v>81</v>
      </c>
      <c r="J193" t="s">
        <v>242</v>
      </c>
      <c r="K193" t="s">
        <v>241</v>
      </c>
    </row>
    <row r="194" spans="1:12" x14ac:dyDescent="0.3">
      <c r="A194" s="3" t="s">
        <v>219</v>
      </c>
      <c r="B194" s="3" t="s">
        <v>22</v>
      </c>
      <c r="C194" s="3" t="s">
        <v>16</v>
      </c>
      <c r="D194" s="3" t="s">
        <v>26</v>
      </c>
      <c r="E194" s="3" t="s">
        <v>18</v>
      </c>
      <c r="F194">
        <v>22</v>
      </c>
      <c r="G194">
        <v>132726.88</v>
      </c>
      <c r="H194">
        <v>24</v>
      </c>
      <c r="I194">
        <v>54</v>
      </c>
      <c r="J194" t="s">
        <v>242</v>
      </c>
      <c r="K194" t="s">
        <v>245</v>
      </c>
    </row>
    <row r="195" spans="1:12" x14ac:dyDescent="0.3">
      <c r="A195" s="3" t="s">
        <v>220</v>
      </c>
      <c r="B195" s="3" t="s">
        <v>10</v>
      </c>
      <c r="C195" s="3" t="s">
        <v>16</v>
      </c>
      <c r="D195" s="3" t="s">
        <v>17</v>
      </c>
      <c r="E195" s="3" t="s">
        <v>29</v>
      </c>
      <c r="F195">
        <v>70</v>
      </c>
      <c r="G195">
        <v>40806.769999999997</v>
      </c>
      <c r="H195">
        <v>1</v>
      </c>
      <c r="I195">
        <v>51</v>
      </c>
      <c r="J195" t="s">
        <v>238</v>
      </c>
      <c r="K195" t="s">
        <v>243</v>
      </c>
    </row>
    <row r="196" spans="1:12" x14ac:dyDescent="0.3">
      <c r="A196" s="3" t="s">
        <v>221</v>
      </c>
      <c r="B196" s="3" t="s">
        <v>25</v>
      </c>
      <c r="C196" s="3" t="s">
        <v>41</v>
      </c>
      <c r="D196" s="3" t="s">
        <v>32</v>
      </c>
      <c r="E196" s="3" t="s">
        <v>13</v>
      </c>
      <c r="F196">
        <v>33</v>
      </c>
      <c r="G196">
        <v>56926.38</v>
      </c>
      <c r="H196">
        <v>11</v>
      </c>
      <c r="I196">
        <v>81</v>
      </c>
      <c r="J196" t="s">
        <v>238</v>
      </c>
      <c r="K196" t="s">
        <v>245</v>
      </c>
    </row>
    <row r="197" spans="1:12" x14ac:dyDescent="0.3">
      <c r="A197" s="3" t="s">
        <v>222</v>
      </c>
      <c r="B197" s="3" t="s">
        <v>22</v>
      </c>
      <c r="C197" s="3" t="s">
        <v>16</v>
      </c>
      <c r="D197" s="3" t="s">
        <v>32</v>
      </c>
      <c r="E197" s="3" t="s">
        <v>29</v>
      </c>
      <c r="F197">
        <v>1</v>
      </c>
      <c r="G197">
        <v>87386.12</v>
      </c>
      <c r="H197">
        <v>14</v>
      </c>
      <c r="I197">
        <v>63</v>
      </c>
      <c r="J197" t="s">
        <v>242</v>
      </c>
      <c r="K197" t="s">
        <v>244</v>
      </c>
    </row>
    <row r="198" spans="1:12" x14ac:dyDescent="0.3">
      <c r="A198" s="3" t="s">
        <v>223</v>
      </c>
      <c r="B198" s="3" t="s">
        <v>22</v>
      </c>
      <c r="C198" s="3" t="s">
        <v>28</v>
      </c>
      <c r="D198" s="3" t="s">
        <v>12</v>
      </c>
      <c r="E198" s="3" t="s">
        <v>13</v>
      </c>
      <c r="F198">
        <v>8</v>
      </c>
      <c r="G198">
        <v>7805.22</v>
      </c>
      <c r="H198">
        <v>13</v>
      </c>
      <c r="I198">
        <v>91</v>
      </c>
      <c r="J198" t="s">
        <v>238</v>
      </c>
      <c r="K198" t="s">
        <v>240</v>
      </c>
    </row>
    <row r="199" spans="1:12" x14ac:dyDescent="0.3">
      <c r="A199" s="3" t="s">
        <v>224</v>
      </c>
      <c r="B199" s="3" t="s">
        <v>22</v>
      </c>
      <c r="C199" s="3" t="s">
        <v>11</v>
      </c>
      <c r="D199" s="3" t="s">
        <v>17</v>
      </c>
      <c r="E199" s="3" t="s">
        <v>18</v>
      </c>
      <c r="F199">
        <v>90</v>
      </c>
      <c r="G199">
        <v>64936.83</v>
      </c>
      <c r="H199">
        <v>23</v>
      </c>
      <c r="I199">
        <v>51</v>
      </c>
      <c r="J199" t="s">
        <v>238</v>
      </c>
      <c r="K199" t="s">
        <v>240</v>
      </c>
    </row>
    <row r="200" spans="1:12" x14ac:dyDescent="0.3">
      <c r="A200" s="3" t="s">
        <v>225</v>
      </c>
      <c r="B200" s="3" t="s">
        <v>36</v>
      </c>
      <c r="C200" s="3" t="s">
        <v>41</v>
      </c>
      <c r="D200" s="3" t="s">
        <v>32</v>
      </c>
      <c r="E200" s="3" t="s">
        <v>13</v>
      </c>
      <c r="F200">
        <v>21</v>
      </c>
      <c r="G200">
        <v>57025.03</v>
      </c>
      <c r="H200">
        <v>18</v>
      </c>
      <c r="I200">
        <v>50</v>
      </c>
      <c r="J200" t="s">
        <v>238</v>
      </c>
      <c r="K200" t="s">
        <v>239</v>
      </c>
    </row>
    <row r="201" spans="1:12" x14ac:dyDescent="0.3">
      <c r="A201" s="3" t="s">
        <v>226</v>
      </c>
      <c r="B201" s="3" t="s">
        <v>36</v>
      </c>
      <c r="C201" s="3" t="s">
        <v>41</v>
      </c>
      <c r="D201" s="3" t="s">
        <v>23</v>
      </c>
      <c r="E201" s="3" t="s">
        <v>13</v>
      </c>
      <c r="F201">
        <v>39</v>
      </c>
      <c r="G201">
        <v>145631.91</v>
      </c>
      <c r="H201">
        <v>6</v>
      </c>
      <c r="I201">
        <v>49</v>
      </c>
      <c r="J201" t="s">
        <v>242</v>
      </c>
      <c r="K201" t="s">
        <v>243</v>
      </c>
    </row>
    <row r="202" spans="1:12" x14ac:dyDescent="0.3">
      <c r="L202" s="2"/>
    </row>
    <row r="203" spans="1:12" x14ac:dyDescent="0.3">
      <c r="L203" s="1"/>
    </row>
    <row r="204" spans="1:12" x14ac:dyDescent="0.3">
      <c r="L204" s="2"/>
    </row>
    <row r="205" spans="1:12" x14ac:dyDescent="0.3">
      <c r="L205" s="1"/>
    </row>
    <row r="206" spans="1:12" x14ac:dyDescent="0.3">
      <c r="L206" s="2"/>
    </row>
    <row r="207" spans="1:12" x14ac:dyDescent="0.3">
      <c r="L207" s="1"/>
    </row>
    <row r="208" spans="1:12" x14ac:dyDescent="0.3">
      <c r="L208" s="2"/>
    </row>
    <row r="209" spans="12:12" x14ac:dyDescent="0.3">
      <c r="L209" s="1"/>
    </row>
    <row r="210" spans="12:12" x14ac:dyDescent="0.3">
      <c r="L210" s="2"/>
    </row>
    <row r="211" spans="12:12" x14ac:dyDescent="0.3">
      <c r="L211" s="1"/>
    </row>
    <row r="212" spans="12:12" x14ac:dyDescent="0.3">
      <c r="L212" s="2"/>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1B825-60F9-4046-8654-691E1E2F3E5C}">
  <dimension ref="A1:K201"/>
  <sheetViews>
    <sheetView workbookViewId="0">
      <selection activeCell="B22" sqref="B22"/>
    </sheetView>
  </sheetViews>
  <sheetFormatPr defaultRowHeight="14.4" x14ac:dyDescent="0.3"/>
  <cols>
    <col min="1" max="1" width="11.109375" customWidth="1"/>
    <col min="2" max="2" width="13" customWidth="1"/>
    <col min="3" max="3" width="16.21875" customWidth="1"/>
    <col min="4" max="4" width="14" customWidth="1"/>
    <col min="5" max="5" width="9" customWidth="1"/>
    <col min="7" max="7" width="15.77734375" customWidth="1"/>
    <col min="8" max="8" width="19.5546875" customWidth="1"/>
    <col min="9" max="9" width="15.77734375" customWidth="1"/>
    <col min="10" max="10" width="13.109375" customWidth="1"/>
    <col min="11" max="11" width="14.109375" customWidth="1"/>
  </cols>
  <sheetData>
    <row r="1" spans="1:11" x14ac:dyDescent="0.3">
      <c r="A1" t="s">
        <v>0</v>
      </c>
      <c r="B1" t="s">
        <v>1</v>
      </c>
      <c r="C1" t="s">
        <v>2</v>
      </c>
      <c r="D1" t="s">
        <v>3</v>
      </c>
      <c r="E1" t="s">
        <v>4</v>
      </c>
      <c r="F1" t="s">
        <v>5</v>
      </c>
      <c r="G1" t="s">
        <v>6</v>
      </c>
      <c r="H1" t="s">
        <v>7</v>
      </c>
      <c r="I1" t="s">
        <v>8</v>
      </c>
      <c r="J1" t="s">
        <v>236</v>
      </c>
      <c r="K1" t="s">
        <v>235</v>
      </c>
    </row>
    <row r="2" spans="1:11" x14ac:dyDescent="0.3">
      <c r="A2" t="s">
        <v>9</v>
      </c>
      <c r="B2" t="s">
        <v>10</v>
      </c>
      <c r="C2" t="s">
        <v>11</v>
      </c>
      <c r="D2" t="s">
        <v>12</v>
      </c>
      <c r="E2" t="s">
        <v>13</v>
      </c>
      <c r="F2">
        <v>12</v>
      </c>
      <c r="G2">
        <v>68632.97</v>
      </c>
      <c r="H2">
        <v>21</v>
      </c>
      <c r="I2">
        <v>82</v>
      </c>
      <c r="J2" t="str">
        <f>IF(Table1[[#This Row],[Treatment Cost]]&gt;75000, "High Cost", "Low Cost")</f>
        <v>Low Cost</v>
      </c>
      <c r="K2" t="str">
        <f t="shared" ref="K2:K33" si="0">IF(A1&lt;=5,"Infant / Toddler",
IF(F1&lt;=12,"Child",
IF(F1&lt;=19,"Teenager",
IF(F1&lt;=29,"Young Adult",
IF(F1&lt;=44,"Adult",
IF(F1&lt;=59,"Middle-aged",
IF(F1&lt;=74,"Senior","Elderly")))))))</f>
        <v>Elderly</v>
      </c>
    </row>
    <row r="3" spans="1:11" x14ac:dyDescent="0.3">
      <c r="A3" t="s">
        <v>14</v>
      </c>
      <c r="B3" t="s">
        <v>15</v>
      </c>
      <c r="C3" t="s">
        <v>16</v>
      </c>
      <c r="D3" t="s">
        <v>17</v>
      </c>
      <c r="E3" t="s">
        <v>18</v>
      </c>
      <c r="F3">
        <v>52</v>
      </c>
      <c r="G3">
        <v>10231.42</v>
      </c>
      <c r="H3">
        <v>20</v>
      </c>
      <c r="I3">
        <v>42</v>
      </c>
      <c r="J3" t="str">
        <f>IF(Table1[[#This Row],[Treatment Cost]]&gt;75000, "High Cost", "Low Cost")</f>
        <v>Low Cost</v>
      </c>
      <c r="K3" t="str">
        <f t="shared" si="0"/>
        <v>Child</v>
      </c>
    </row>
    <row r="4" spans="1:11" x14ac:dyDescent="0.3">
      <c r="A4" t="s">
        <v>19</v>
      </c>
      <c r="B4" t="s">
        <v>15</v>
      </c>
      <c r="C4" t="s">
        <v>11</v>
      </c>
      <c r="D4" t="s">
        <v>12</v>
      </c>
      <c r="E4" t="s">
        <v>18</v>
      </c>
      <c r="F4">
        <v>79</v>
      </c>
      <c r="G4">
        <v>10160.24</v>
      </c>
      <c r="H4">
        <v>2</v>
      </c>
      <c r="I4">
        <v>72</v>
      </c>
      <c r="J4" t="str">
        <f>IF(Table1[[#This Row],[Treatment Cost]]&gt;75000, "High Cost", "Low Cost")</f>
        <v>Low Cost</v>
      </c>
      <c r="K4" t="str">
        <f t="shared" si="0"/>
        <v>Middle-aged</v>
      </c>
    </row>
    <row r="5" spans="1:11" x14ac:dyDescent="0.3">
      <c r="A5" t="s">
        <v>20</v>
      </c>
      <c r="B5" t="s">
        <v>15</v>
      </c>
      <c r="C5" t="s">
        <v>11</v>
      </c>
      <c r="D5" t="s">
        <v>12</v>
      </c>
      <c r="E5" t="s">
        <v>13</v>
      </c>
      <c r="F5">
        <v>23</v>
      </c>
      <c r="G5">
        <v>103508.96</v>
      </c>
      <c r="H5">
        <v>20</v>
      </c>
      <c r="I5">
        <v>50</v>
      </c>
      <c r="J5" t="str">
        <f>IF(Table1[[#This Row],[Treatment Cost]]&gt;75000, "High Cost", "Low Cost")</f>
        <v>High Cost</v>
      </c>
      <c r="K5" t="str">
        <f t="shared" si="0"/>
        <v>Elderly</v>
      </c>
    </row>
    <row r="6" spans="1:11" x14ac:dyDescent="0.3">
      <c r="A6" t="s">
        <v>21</v>
      </c>
      <c r="B6" t="s">
        <v>22</v>
      </c>
      <c r="C6" t="s">
        <v>16</v>
      </c>
      <c r="D6" t="s">
        <v>23</v>
      </c>
      <c r="E6" t="s">
        <v>13</v>
      </c>
      <c r="F6">
        <v>7</v>
      </c>
      <c r="G6">
        <v>143427.51999999999</v>
      </c>
      <c r="H6">
        <v>6</v>
      </c>
      <c r="I6">
        <v>43</v>
      </c>
      <c r="J6" t="str">
        <f>IF(Table1[[#This Row],[Treatment Cost]]&gt;75000, "High Cost", "Low Cost")</f>
        <v>High Cost</v>
      </c>
      <c r="K6" t="str">
        <f t="shared" si="0"/>
        <v>Young Adult</v>
      </c>
    </row>
    <row r="7" spans="1:11" x14ac:dyDescent="0.3">
      <c r="A7" t="s">
        <v>24</v>
      </c>
      <c r="B7" t="s">
        <v>25</v>
      </c>
      <c r="C7" t="s">
        <v>16</v>
      </c>
      <c r="D7" t="s">
        <v>26</v>
      </c>
      <c r="E7" t="s">
        <v>13</v>
      </c>
      <c r="F7">
        <v>78</v>
      </c>
      <c r="G7">
        <v>146252.19</v>
      </c>
      <c r="H7">
        <v>9</v>
      </c>
      <c r="I7">
        <v>41</v>
      </c>
      <c r="J7" t="str">
        <f>IF(Table1[[#This Row],[Treatment Cost]]&gt;75000, "High Cost", "Low Cost")</f>
        <v>High Cost</v>
      </c>
      <c r="K7" t="str">
        <f t="shared" si="0"/>
        <v>Child</v>
      </c>
    </row>
    <row r="8" spans="1:11" x14ac:dyDescent="0.3">
      <c r="A8" t="s">
        <v>27</v>
      </c>
      <c r="B8" t="s">
        <v>25</v>
      </c>
      <c r="C8" t="s">
        <v>28</v>
      </c>
      <c r="D8" t="s">
        <v>17</v>
      </c>
      <c r="E8" t="s">
        <v>29</v>
      </c>
      <c r="F8">
        <v>30</v>
      </c>
      <c r="G8">
        <v>54393.48</v>
      </c>
      <c r="H8">
        <v>1</v>
      </c>
      <c r="I8">
        <v>42</v>
      </c>
      <c r="J8" t="str">
        <f>IF(Table1[[#This Row],[Treatment Cost]]&gt;75000, "High Cost", "Low Cost")</f>
        <v>Low Cost</v>
      </c>
      <c r="K8" t="str">
        <f t="shared" si="0"/>
        <v>Elderly</v>
      </c>
    </row>
    <row r="9" spans="1:11" x14ac:dyDescent="0.3">
      <c r="A9" t="s">
        <v>30</v>
      </c>
      <c r="B9" t="s">
        <v>31</v>
      </c>
      <c r="C9" t="s">
        <v>28</v>
      </c>
      <c r="D9" t="s">
        <v>32</v>
      </c>
      <c r="E9" t="s">
        <v>29</v>
      </c>
      <c r="F9">
        <v>68</v>
      </c>
      <c r="G9">
        <v>30452.22</v>
      </c>
      <c r="H9">
        <v>6</v>
      </c>
      <c r="I9">
        <v>77</v>
      </c>
      <c r="J9" t="str">
        <f>IF(Table1[[#This Row],[Treatment Cost]]&gt;75000, "High Cost", "Low Cost")</f>
        <v>Low Cost</v>
      </c>
      <c r="K9" t="str">
        <f t="shared" si="0"/>
        <v>Adult</v>
      </c>
    </row>
    <row r="10" spans="1:11" x14ac:dyDescent="0.3">
      <c r="A10" t="s">
        <v>33</v>
      </c>
      <c r="B10" t="s">
        <v>10</v>
      </c>
      <c r="C10" t="s">
        <v>28</v>
      </c>
      <c r="D10" t="s">
        <v>12</v>
      </c>
      <c r="E10" t="s">
        <v>29</v>
      </c>
      <c r="F10">
        <v>41</v>
      </c>
      <c r="G10">
        <v>79517.25</v>
      </c>
      <c r="H10">
        <v>9</v>
      </c>
      <c r="I10">
        <v>62</v>
      </c>
      <c r="J10" t="str">
        <f>IF(Table1[[#This Row],[Treatment Cost]]&gt;75000, "High Cost", "Low Cost")</f>
        <v>High Cost</v>
      </c>
      <c r="K10" t="str">
        <f t="shared" si="0"/>
        <v>Senior</v>
      </c>
    </row>
    <row r="11" spans="1:11" x14ac:dyDescent="0.3">
      <c r="A11" t="s">
        <v>34</v>
      </c>
      <c r="B11" t="s">
        <v>15</v>
      </c>
      <c r="C11" t="s">
        <v>16</v>
      </c>
      <c r="D11" t="s">
        <v>23</v>
      </c>
      <c r="E11" t="s">
        <v>29</v>
      </c>
      <c r="F11">
        <v>56</v>
      </c>
      <c r="G11">
        <v>116558.38</v>
      </c>
      <c r="H11">
        <v>24</v>
      </c>
      <c r="I11">
        <v>48</v>
      </c>
      <c r="J11" t="str">
        <f>IF(Table1[[#This Row],[Treatment Cost]]&gt;75000, "High Cost", "Low Cost")</f>
        <v>High Cost</v>
      </c>
      <c r="K11" t="str">
        <f t="shared" si="0"/>
        <v>Adult</v>
      </c>
    </row>
    <row r="12" spans="1:11" x14ac:dyDescent="0.3">
      <c r="A12" t="s">
        <v>35</v>
      </c>
      <c r="B12" t="s">
        <v>36</v>
      </c>
      <c r="C12" t="s">
        <v>16</v>
      </c>
      <c r="D12" t="s">
        <v>23</v>
      </c>
      <c r="E12" t="s">
        <v>13</v>
      </c>
      <c r="F12">
        <v>24</v>
      </c>
      <c r="G12">
        <v>135883.74</v>
      </c>
      <c r="H12">
        <v>15</v>
      </c>
      <c r="I12">
        <v>54</v>
      </c>
      <c r="J12" t="str">
        <f>IF(Table1[[#This Row],[Treatment Cost]]&gt;75000, "High Cost", "Low Cost")</f>
        <v>High Cost</v>
      </c>
      <c r="K12" t="str">
        <f t="shared" si="0"/>
        <v>Middle-aged</v>
      </c>
    </row>
    <row r="13" spans="1:11" x14ac:dyDescent="0.3">
      <c r="A13" t="s">
        <v>37</v>
      </c>
      <c r="B13" t="s">
        <v>15</v>
      </c>
      <c r="C13" t="s">
        <v>28</v>
      </c>
      <c r="D13" t="s">
        <v>17</v>
      </c>
      <c r="E13" t="s">
        <v>13</v>
      </c>
      <c r="F13">
        <v>62</v>
      </c>
      <c r="G13">
        <v>148179.98000000001</v>
      </c>
      <c r="H13">
        <v>11</v>
      </c>
      <c r="I13">
        <v>87</v>
      </c>
      <c r="J13" t="str">
        <f>IF(Table1[[#This Row],[Treatment Cost]]&gt;75000, "High Cost", "Low Cost")</f>
        <v>High Cost</v>
      </c>
      <c r="K13" t="str">
        <f t="shared" si="0"/>
        <v>Young Adult</v>
      </c>
    </row>
    <row r="14" spans="1:11" x14ac:dyDescent="0.3">
      <c r="A14" t="s">
        <v>38</v>
      </c>
      <c r="B14" t="s">
        <v>25</v>
      </c>
      <c r="C14" t="s">
        <v>28</v>
      </c>
      <c r="D14" t="s">
        <v>32</v>
      </c>
      <c r="E14" t="s">
        <v>13</v>
      </c>
      <c r="F14">
        <v>65</v>
      </c>
      <c r="G14">
        <v>20591.650000000001</v>
      </c>
      <c r="H14">
        <v>28</v>
      </c>
      <c r="I14">
        <v>52</v>
      </c>
      <c r="J14" t="str">
        <f>IF(Table1[[#This Row],[Treatment Cost]]&gt;75000, "High Cost", "Low Cost")</f>
        <v>Low Cost</v>
      </c>
      <c r="K14" t="str">
        <f t="shared" si="0"/>
        <v>Senior</v>
      </c>
    </row>
    <row r="15" spans="1:11" x14ac:dyDescent="0.3">
      <c r="A15" t="s">
        <v>39</v>
      </c>
      <c r="B15" t="s">
        <v>10</v>
      </c>
      <c r="C15" t="s">
        <v>28</v>
      </c>
      <c r="D15" t="s">
        <v>12</v>
      </c>
      <c r="E15" t="s">
        <v>13</v>
      </c>
      <c r="F15">
        <v>13</v>
      </c>
      <c r="G15">
        <v>59149.07</v>
      </c>
      <c r="H15">
        <v>19</v>
      </c>
      <c r="I15">
        <v>86</v>
      </c>
      <c r="J15" t="str">
        <f>IF(Table1[[#This Row],[Treatment Cost]]&gt;75000, "High Cost", "Low Cost")</f>
        <v>Low Cost</v>
      </c>
      <c r="K15" t="str">
        <f t="shared" si="0"/>
        <v>Senior</v>
      </c>
    </row>
    <row r="16" spans="1:11" x14ac:dyDescent="0.3">
      <c r="A16" t="s">
        <v>40</v>
      </c>
      <c r="B16" t="s">
        <v>10</v>
      </c>
      <c r="C16" t="s">
        <v>41</v>
      </c>
      <c r="D16" t="s">
        <v>26</v>
      </c>
      <c r="E16" t="s">
        <v>18</v>
      </c>
      <c r="F16">
        <v>39</v>
      </c>
      <c r="G16">
        <v>59335.72</v>
      </c>
      <c r="H16">
        <v>28</v>
      </c>
      <c r="I16">
        <v>80</v>
      </c>
      <c r="J16" t="str">
        <f>IF(Table1[[#This Row],[Treatment Cost]]&gt;75000, "High Cost", "Low Cost")</f>
        <v>Low Cost</v>
      </c>
      <c r="K16" t="str">
        <f t="shared" si="0"/>
        <v>Teenager</v>
      </c>
    </row>
    <row r="17" spans="1:11" x14ac:dyDescent="0.3">
      <c r="A17" t="s">
        <v>42</v>
      </c>
      <c r="B17" t="s">
        <v>22</v>
      </c>
      <c r="C17" t="s">
        <v>16</v>
      </c>
      <c r="D17" t="s">
        <v>12</v>
      </c>
      <c r="E17" t="s">
        <v>18</v>
      </c>
      <c r="F17">
        <v>85</v>
      </c>
      <c r="G17">
        <v>101936.34</v>
      </c>
      <c r="H17">
        <v>27</v>
      </c>
      <c r="I17">
        <v>99</v>
      </c>
      <c r="J17" t="str">
        <f>IF(Table1[[#This Row],[Treatment Cost]]&gt;75000, "High Cost", "Low Cost")</f>
        <v>High Cost</v>
      </c>
      <c r="K17" t="str">
        <f t="shared" si="0"/>
        <v>Adult</v>
      </c>
    </row>
    <row r="18" spans="1:11" x14ac:dyDescent="0.3">
      <c r="A18" t="s">
        <v>43</v>
      </c>
      <c r="B18" t="s">
        <v>22</v>
      </c>
      <c r="C18" t="s">
        <v>41</v>
      </c>
      <c r="D18" t="s">
        <v>12</v>
      </c>
      <c r="E18" t="s">
        <v>18</v>
      </c>
      <c r="F18">
        <v>52</v>
      </c>
      <c r="G18">
        <v>107481.12</v>
      </c>
      <c r="H18">
        <v>8</v>
      </c>
      <c r="I18">
        <v>93</v>
      </c>
      <c r="J18" t="str">
        <f>IF(Table1[[#This Row],[Treatment Cost]]&gt;75000, "High Cost", "Low Cost")</f>
        <v>High Cost</v>
      </c>
      <c r="K18" t="str">
        <f t="shared" si="0"/>
        <v>Elderly</v>
      </c>
    </row>
    <row r="19" spans="1:11" x14ac:dyDescent="0.3">
      <c r="A19" t="s">
        <v>44</v>
      </c>
      <c r="B19" t="s">
        <v>36</v>
      </c>
      <c r="C19" t="s">
        <v>11</v>
      </c>
      <c r="D19" t="s">
        <v>23</v>
      </c>
      <c r="E19" t="s">
        <v>18</v>
      </c>
      <c r="F19">
        <v>25</v>
      </c>
      <c r="G19">
        <v>142574.53</v>
      </c>
      <c r="H19">
        <v>30</v>
      </c>
      <c r="I19">
        <v>99</v>
      </c>
      <c r="J19" t="str">
        <f>IF(Table1[[#This Row],[Treatment Cost]]&gt;75000, "High Cost", "Low Cost")</f>
        <v>High Cost</v>
      </c>
      <c r="K19" t="str">
        <f t="shared" si="0"/>
        <v>Middle-aged</v>
      </c>
    </row>
    <row r="20" spans="1:11" x14ac:dyDescent="0.3">
      <c r="A20" t="s">
        <v>45</v>
      </c>
      <c r="B20" t="s">
        <v>15</v>
      </c>
      <c r="C20" t="s">
        <v>41</v>
      </c>
      <c r="D20" t="s">
        <v>23</v>
      </c>
      <c r="E20" t="s">
        <v>18</v>
      </c>
      <c r="F20">
        <v>1</v>
      </c>
      <c r="G20">
        <v>43174.44</v>
      </c>
      <c r="H20">
        <v>24</v>
      </c>
      <c r="I20">
        <v>100</v>
      </c>
      <c r="J20" t="str">
        <f>IF(Table1[[#This Row],[Treatment Cost]]&gt;75000, "High Cost", "Low Cost")</f>
        <v>Low Cost</v>
      </c>
      <c r="K20" t="str">
        <f t="shared" si="0"/>
        <v>Young Adult</v>
      </c>
    </row>
    <row r="21" spans="1:11" x14ac:dyDescent="0.3">
      <c r="A21" t="s">
        <v>46</v>
      </c>
      <c r="B21" t="s">
        <v>31</v>
      </c>
      <c r="C21" t="s">
        <v>16</v>
      </c>
      <c r="D21" t="s">
        <v>12</v>
      </c>
      <c r="E21" t="s">
        <v>13</v>
      </c>
      <c r="F21">
        <v>3</v>
      </c>
      <c r="G21">
        <v>125171.58</v>
      </c>
      <c r="H21">
        <v>30</v>
      </c>
      <c r="I21">
        <v>89</v>
      </c>
      <c r="J21" t="str">
        <f>IF(Table1[[#This Row],[Treatment Cost]]&gt;75000, "High Cost", "Low Cost")</f>
        <v>High Cost</v>
      </c>
      <c r="K21" t="str">
        <f t="shared" si="0"/>
        <v>Child</v>
      </c>
    </row>
    <row r="22" spans="1:11" x14ac:dyDescent="0.3">
      <c r="A22" t="s">
        <v>47</v>
      </c>
      <c r="B22" t="s">
        <v>15</v>
      </c>
      <c r="C22" t="s">
        <v>11</v>
      </c>
      <c r="D22" t="s">
        <v>26</v>
      </c>
      <c r="E22" t="s">
        <v>18</v>
      </c>
      <c r="F22">
        <v>31</v>
      </c>
      <c r="G22">
        <v>51842.34</v>
      </c>
      <c r="H22">
        <v>15</v>
      </c>
      <c r="I22">
        <v>74</v>
      </c>
      <c r="J22" t="str">
        <f>IF(Table1[[#This Row],[Treatment Cost]]&gt;75000, "High Cost", "Low Cost")</f>
        <v>Low Cost</v>
      </c>
      <c r="K22" t="str">
        <f t="shared" si="0"/>
        <v>Child</v>
      </c>
    </row>
    <row r="23" spans="1:11" x14ac:dyDescent="0.3">
      <c r="A23" t="s">
        <v>48</v>
      </c>
      <c r="B23" t="s">
        <v>36</v>
      </c>
      <c r="C23" t="s">
        <v>11</v>
      </c>
      <c r="D23" t="s">
        <v>26</v>
      </c>
      <c r="E23" t="s">
        <v>18</v>
      </c>
      <c r="F23">
        <v>66</v>
      </c>
      <c r="G23">
        <v>30547.73</v>
      </c>
      <c r="H23">
        <v>11</v>
      </c>
      <c r="I23">
        <v>47</v>
      </c>
      <c r="J23" t="str">
        <f>IF(Table1[[#This Row],[Treatment Cost]]&gt;75000, "High Cost", "Low Cost")</f>
        <v>Low Cost</v>
      </c>
      <c r="K23" t="str">
        <f t="shared" si="0"/>
        <v>Adult</v>
      </c>
    </row>
    <row r="24" spans="1:11" x14ac:dyDescent="0.3">
      <c r="A24" t="s">
        <v>49</v>
      </c>
      <c r="B24" t="s">
        <v>22</v>
      </c>
      <c r="C24" t="s">
        <v>11</v>
      </c>
      <c r="D24" t="s">
        <v>32</v>
      </c>
      <c r="E24" t="s">
        <v>18</v>
      </c>
      <c r="F24">
        <v>68</v>
      </c>
      <c r="G24">
        <v>68961.679999999993</v>
      </c>
      <c r="H24">
        <v>5</v>
      </c>
      <c r="I24">
        <v>67</v>
      </c>
      <c r="J24" t="str">
        <f>IF(Table1[[#This Row],[Treatment Cost]]&gt;75000, "High Cost", "Low Cost")</f>
        <v>Low Cost</v>
      </c>
      <c r="K24" t="str">
        <f t="shared" si="0"/>
        <v>Senior</v>
      </c>
    </row>
    <row r="25" spans="1:11" x14ac:dyDescent="0.3">
      <c r="A25" t="s">
        <v>50</v>
      </c>
      <c r="B25" t="s">
        <v>36</v>
      </c>
      <c r="C25" t="s">
        <v>11</v>
      </c>
      <c r="D25" t="s">
        <v>32</v>
      </c>
      <c r="E25" t="s">
        <v>29</v>
      </c>
      <c r="F25">
        <v>75</v>
      </c>
      <c r="G25">
        <v>89887.05</v>
      </c>
      <c r="H25">
        <v>28</v>
      </c>
      <c r="I25">
        <v>92</v>
      </c>
      <c r="J25" t="str">
        <f>IF(Table1[[#This Row],[Treatment Cost]]&gt;75000, "High Cost", "Low Cost")</f>
        <v>High Cost</v>
      </c>
      <c r="K25" t="str">
        <f t="shared" si="0"/>
        <v>Senior</v>
      </c>
    </row>
    <row r="26" spans="1:11" x14ac:dyDescent="0.3">
      <c r="A26" t="s">
        <v>51</v>
      </c>
      <c r="B26" t="s">
        <v>15</v>
      </c>
      <c r="C26" t="s">
        <v>16</v>
      </c>
      <c r="D26" t="s">
        <v>12</v>
      </c>
      <c r="E26" t="s">
        <v>18</v>
      </c>
      <c r="F26">
        <v>35</v>
      </c>
      <c r="G26">
        <v>54350.5</v>
      </c>
      <c r="H26">
        <v>24</v>
      </c>
      <c r="I26">
        <v>70</v>
      </c>
      <c r="J26" t="str">
        <f>IF(Table1[[#This Row],[Treatment Cost]]&gt;75000, "High Cost", "Low Cost")</f>
        <v>Low Cost</v>
      </c>
      <c r="K26" t="str">
        <f t="shared" si="0"/>
        <v>Elderly</v>
      </c>
    </row>
    <row r="27" spans="1:11" x14ac:dyDescent="0.3">
      <c r="A27" t="s">
        <v>52</v>
      </c>
      <c r="B27" t="s">
        <v>31</v>
      </c>
      <c r="C27" t="s">
        <v>11</v>
      </c>
      <c r="D27" t="s">
        <v>23</v>
      </c>
      <c r="E27" t="s">
        <v>18</v>
      </c>
      <c r="F27">
        <v>56</v>
      </c>
      <c r="G27">
        <v>47635.12</v>
      </c>
      <c r="H27">
        <v>3</v>
      </c>
      <c r="I27">
        <v>47</v>
      </c>
      <c r="J27" t="str">
        <f>IF(Table1[[#This Row],[Treatment Cost]]&gt;75000, "High Cost", "Low Cost")</f>
        <v>Low Cost</v>
      </c>
      <c r="K27" t="str">
        <f t="shared" si="0"/>
        <v>Adult</v>
      </c>
    </row>
    <row r="28" spans="1:11" x14ac:dyDescent="0.3">
      <c r="A28" t="s">
        <v>53</v>
      </c>
      <c r="B28" t="s">
        <v>22</v>
      </c>
      <c r="C28" t="s">
        <v>41</v>
      </c>
      <c r="D28" t="s">
        <v>23</v>
      </c>
      <c r="E28" t="s">
        <v>29</v>
      </c>
      <c r="F28">
        <v>34</v>
      </c>
      <c r="G28">
        <v>136077.99</v>
      </c>
      <c r="H28">
        <v>25</v>
      </c>
      <c r="I28">
        <v>58</v>
      </c>
      <c r="J28" t="str">
        <f>IF(Table1[[#This Row],[Treatment Cost]]&gt;75000, "High Cost", "Low Cost")</f>
        <v>High Cost</v>
      </c>
      <c r="K28" t="str">
        <f t="shared" si="0"/>
        <v>Middle-aged</v>
      </c>
    </row>
    <row r="29" spans="1:11" x14ac:dyDescent="0.3">
      <c r="A29" t="s">
        <v>54</v>
      </c>
      <c r="B29" t="s">
        <v>25</v>
      </c>
      <c r="C29" t="s">
        <v>11</v>
      </c>
      <c r="D29" t="s">
        <v>23</v>
      </c>
      <c r="E29" t="s">
        <v>18</v>
      </c>
      <c r="F29">
        <v>31</v>
      </c>
      <c r="G29">
        <v>103276.56</v>
      </c>
      <c r="H29">
        <v>30</v>
      </c>
      <c r="I29">
        <v>84</v>
      </c>
      <c r="J29" t="str">
        <f>IF(Table1[[#This Row],[Treatment Cost]]&gt;75000, "High Cost", "Low Cost")</f>
        <v>High Cost</v>
      </c>
      <c r="K29" t="str">
        <f t="shared" si="0"/>
        <v>Adult</v>
      </c>
    </row>
    <row r="30" spans="1:11" x14ac:dyDescent="0.3">
      <c r="A30" t="s">
        <v>55</v>
      </c>
      <c r="B30" t="s">
        <v>10</v>
      </c>
      <c r="C30" t="s">
        <v>41</v>
      </c>
      <c r="D30" t="s">
        <v>26</v>
      </c>
      <c r="E30" t="s">
        <v>18</v>
      </c>
      <c r="F30">
        <v>25</v>
      </c>
      <c r="G30">
        <v>38676.85</v>
      </c>
      <c r="H30">
        <v>9</v>
      </c>
      <c r="I30">
        <v>70</v>
      </c>
      <c r="J30" t="str">
        <f>IF(Table1[[#This Row],[Treatment Cost]]&gt;75000, "High Cost", "Low Cost")</f>
        <v>Low Cost</v>
      </c>
      <c r="K30" t="str">
        <f t="shared" si="0"/>
        <v>Adult</v>
      </c>
    </row>
    <row r="31" spans="1:11" x14ac:dyDescent="0.3">
      <c r="A31" t="s">
        <v>56</v>
      </c>
      <c r="B31" t="s">
        <v>10</v>
      </c>
      <c r="C31" t="s">
        <v>41</v>
      </c>
      <c r="D31" t="s">
        <v>32</v>
      </c>
      <c r="E31" t="s">
        <v>29</v>
      </c>
      <c r="F31">
        <v>86</v>
      </c>
      <c r="G31">
        <v>35788.22</v>
      </c>
      <c r="H31">
        <v>3</v>
      </c>
      <c r="I31">
        <v>66</v>
      </c>
      <c r="J31" t="str">
        <f>IF(Table1[[#This Row],[Treatment Cost]]&gt;75000, "High Cost", "Low Cost")</f>
        <v>Low Cost</v>
      </c>
      <c r="K31" t="str">
        <f t="shared" si="0"/>
        <v>Young Adult</v>
      </c>
    </row>
    <row r="32" spans="1:11" x14ac:dyDescent="0.3">
      <c r="A32" t="s">
        <v>57</v>
      </c>
      <c r="B32" t="s">
        <v>36</v>
      </c>
      <c r="C32" t="s">
        <v>16</v>
      </c>
      <c r="D32" t="s">
        <v>12</v>
      </c>
      <c r="E32" t="s">
        <v>18</v>
      </c>
      <c r="F32">
        <v>79</v>
      </c>
      <c r="G32">
        <v>140415.63</v>
      </c>
      <c r="H32">
        <v>16</v>
      </c>
      <c r="I32">
        <v>67</v>
      </c>
      <c r="J32" t="str">
        <f>IF(Table1[[#This Row],[Treatment Cost]]&gt;75000, "High Cost", "Low Cost")</f>
        <v>High Cost</v>
      </c>
      <c r="K32" t="str">
        <f t="shared" si="0"/>
        <v>Elderly</v>
      </c>
    </row>
    <row r="33" spans="1:11" x14ac:dyDescent="0.3">
      <c r="A33" t="s">
        <v>58</v>
      </c>
      <c r="B33" t="s">
        <v>22</v>
      </c>
      <c r="C33" t="s">
        <v>41</v>
      </c>
      <c r="D33" t="s">
        <v>26</v>
      </c>
      <c r="E33" t="s">
        <v>18</v>
      </c>
      <c r="F33">
        <v>51</v>
      </c>
      <c r="G33">
        <v>143365.82999999999</v>
      </c>
      <c r="H33">
        <v>1</v>
      </c>
      <c r="I33">
        <v>58</v>
      </c>
      <c r="J33" t="str">
        <f>IF(Table1[[#This Row],[Treatment Cost]]&gt;75000, "High Cost", "Low Cost")</f>
        <v>High Cost</v>
      </c>
      <c r="K33" t="str">
        <f t="shared" si="0"/>
        <v>Elderly</v>
      </c>
    </row>
    <row r="34" spans="1:11" x14ac:dyDescent="0.3">
      <c r="A34" t="s">
        <v>59</v>
      </c>
      <c r="B34" t="s">
        <v>10</v>
      </c>
      <c r="C34" t="s">
        <v>16</v>
      </c>
      <c r="D34" t="s">
        <v>17</v>
      </c>
      <c r="E34" t="s">
        <v>18</v>
      </c>
      <c r="F34">
        <v>1</v>
      </c>
      <c r="G34">
        <v>101058.07</v>
      </c>
      <c r="H34">
        <v>4</v>
      </c>
      <c r="I34">
        <v>81</v>
      </c>
      <c r="J34" t="str">
        <f>IF(Table1[[#This Row],[Treatment Cost]]&gt;75000, "High Cost", "Low Cost")</f>
        <v>High Cost</v>
      </c>
      <c r="K34" t="str">
        <f t="shared" ref="K34:K65" si="1">IF(A33&lt;=5,"Infant / Toddler",
IF(F33&lt;=12,"Child",
IF(F33&lt;=19,"Teenager",
IF(F33&lt;=29,"Young Adult",
IF(F33&lt;=44,"Adult",
IF(F33&lt;=59,"Middle-aged",
IF(F33&lt;=74,"Senior","Elderly")))))))</f>
        <v>Middle-aged</v>
      </c>
    </row>
    <row r="35" spans="1:11" x14ac:dyDescent="0.3">
      <c r="A35" t="s">
        <v>60</v>
      </c>
      <c r="B35" t="s">
        <v>22</v>
      </c>
      <c r="C35" t="s">
        <v>11</v>
      </c>
      <c r="D35" t="s">
        <v>12</v>
      </c>
      <c r="E35" t="s">
        <v>29</v>
      </c>
      <c r="F35">
        <v>58</v>
      </c>
      <c r="G35">
        <v>41426.04</v>
      </c>
      <c r="H35">
        <v>6</v>
      </c>
      <c r="I35">
        <v>67</v>
      </c>
      <c r="J35" t="str">
        <f>IF(Table1[[#This Row],[Treatment Cost]]&gt;75000, "High Cost", "Low Cost")</f>
        <v>Low Cost</v>
      </c>
      <c r="K35" t="str">
        <f t="shared" si="1"/>
        <v>Child</v>
      </c>
    </row>
    <row r="36" spans="1:11" x14ac:dyDescent="0.3">
      <c r="A36" t="s">
        <v>61</v>
      </c>
      <c r="B36" t="s">
        <v>22</v>
      </c>
      <c r="C36" t="s">
        <v>28</v>
      </c>
      <c r="D36" t="s">
        <v>17</v>
      </c>
      <c r="E36" t="s">
        <v>13</v>
      </c>
      <c r="F36">
        <v>15</v>
      </c>
      <c r="G36">
        <v>131454.59</v>
      </c>
      <c r="H36">
        <v>30</v>
      </c>
      <c r="I36">
        <v>83</v>
      </c>
      <c r="J36" t="str">
        <f>IF(Table1[[#This Row],[Treatment Cost]]&gt;75000, "High Cost", "Low Cost")</f>
        <v>High Cost</v>
      </c>
      <c r="K36" t="str">
        <f t="shared" si="1"/>
        <v>Middle-aged</v>
      </c>
    </row>
    <row r="37" spans="1:11" x14ac:dyDescent="0.3">
      <c r="A37" t="s">
        <v>62</v>
      </c>
      <c r="B37" t="s">
        <v>10</v>
      </c>
      <c r="C37" t="s">
        <v>16</v>
      </c>
      <c r="D37" t="s">
        <v>32</v>
      </c>
      <c r="E37" t="s">
        <v>13</v>
      </c>
      <c r="F37">
        <v>5</v>
      </c>
      <c r="G37">
        <v>48581.36</v>
      </c>
      <c r="H37">
        <v>16</v>
      </c>
      <c r="I37">
        <v>40</v>
      </c>
      <c r="J37" t="str">
        <f>IF(Table1[[#This Row],[Treatment Cost]]&gt;75000, "High Cost", "Low Cost")</f>
        <v>Low Cost</v>
      </c>
      <c r="K37" t="str">
        <f t="shared" si="1"/>
        <v>Teenager</v>
      </c>
    </row>
    <row r="38" spans="1:11" x14ac:dyDescent="0.3">
      <c r="A38" t="s">
        <v>63</v>
      </c>
      <c r="B38" t="s">
        <v>15</v>
      </c>
      <c r="C38" t="s">
        <v>11</v>
      </c>
      <c r="D38" t="s">
        <v>17</v>
      </c>
      <c r="E38" t="s">
        <v>13</v>
      </c>
      <c r="F38">
        <v>41</v>
      </c>
      <c r="G38">
        <v>143381.07</v>
      </c>
      <c r="H38">
        <v>1</v>
      </c>
      <c r="I38">
        <v>87</v>
      </c>
      <c r="J38" t="str">
        <f>IF(Table1[[#This Row],[Treatment Cost]]&gt;75000, "High Cost", "Low Cost")</f>
        <v>High Cost</v>
      </c>
      <c r="K38" t="str">
        <f t="shared" si="1"/>
        <v>Child</v>
      </c>
    </row>
    <row r="39" spans="1:11" x14ac:dyDescent="0.3">
      <c r="A39" t="s">
        <v>64</v>
      </c>
      <c r="B39" t="s">
        <v>15</v>
      </c>
      <c r="C39" t="s">
        <v>11</v>
      </c>
      <c r="D39" t="s">
        <v>17</v>
      </c>
      <c r="E39" t="s">
        <v>18</v>
      </c>
      <c r="F39">
        <v>3</v>
      </c>
      <c r="G39">
        <v>50045.440000000002</v>
      </c>
      <c r="H39">
        <v>15</v>
      </c>
      <c r="I39">
        <v>84</v>
      </c>
      <c r="J39" t="str">
        <f>IF(Table1[[#This Row],[Treatment Cost]]&gt;75000, "High Cost", "Low Cost")</f>
        <v>Low Cost</v>
      </c>
      <c r="K39" t="str">
        <f t="shared" si="1"/>
        <v>Adult</v>
      </c>
    </row>
    <row r="40" spans="1:11" x14ac:dyDescent="0.3">
      <c r="A40" t="s">
        <v>65</v>
      </c>
      <c r="B40" t="s">
        <v>22</v>
      </c>
      <c r="C40" t="s">
        <v>11</v>
      </c>
      <c r="D40" t="s">
        <v>17</v>
      </c>
      <c r="E40" t="s">
        <v>29</v>
      </c>
      <c r="F40">
        <v>58</v>
      </c>
      <c r="G40">
        <v>86479.95</v>
      </c>
      <c r="H40">
        <v>1</v>
      </c>
      <c r="I40">
        <v>75</v>
      </c>
      <c r="J40" t="str">
        <f>IF(Table1[[#This Row],[Treatment Cost]]&gt;75000, "High Cost", "Low Cost")</f>
        <v>High Cost</v>
      </c>
      <c r="K40" t="str">
        <f t="shared" si="1"/>
        <v>Child</v>
      </c>
    </row>
    <row r="41" spans="1:11" x14ac:dyDescent="0.3">
      <c r="A41" t="s">
        <v>66</v>
      </c>
      <c r="B41" t="s">
        <v>15</v>
      </c>
      <c r="C41" t="s">
        <v>41</v>
      </c>
      <c r="D41" t="s">
        <v>23</v>
      </c>
      <c r="E41" t="s">
        <v>18</v>
      </c>
      <c r="F41">
        <v>14</v>
      </c>
      <c r="G41">
        <v>9067.3799999999992</v>
      </c>
      <c r="H41">
        <v>28</v>
      </c>
      <c r="I41">
        <v>86</v>
      </c>
      <c r="J41" t="str">
        <f>IF(Table1[[#This Row],[Treatment Cost]]&gt;75000, "High Cost", "Low Cost")</f>
        <v>Low Cost</v>
      </c>
      <c r="K41" t="str">
        <f t="shared" si="1"/>
        <v>Middle-aged</v>
      </c>
    </row>
    <row r="42" spans="1:11" x14ac:dyDescent="0.3">
      <c r="A42" t="s">
        <v>67</v>
      </c>
      <c r="B42" t="s">
        <v>15</v>
      </c>
      <c r="C42" t="s">
        <v>28</v>
      </c>
      <c r="D42" t="s">
        <v>23</v>
      </c>
      <c r="E42" t="s">
        <v>18</v>
      </c>
      <c r="F42">
        <v>31</v>
      </c>
      <c r="G42">
        <v>113414.83</v>
      </c>
      <c r="H42">
        <v>8</v>
      </c>
      <c r="I42">
        <v>70</v>
      </c>
      <c r="J42" t="str">
        <f>IF(Table1[[#This Row],[Treatment Cost]]&gt;75000, "High Cost", "Low Cost")</f>
        <v>High Cost</v>
      </c>
      <c r="K42" t="str">
        <f t="shared" si="1"/>
        <v>Teenager</v>
      </c>
    </row>
    <row r="43" spans="1:11" x14ac:dyDescent="0.3">
      <c r="A43" t="s">
        <v>68</v>
      </c>
      <c r="B43" t="s">
        <v>31</v>
      </c>
      <c r="C43" t="s">
        <v>16</v>
      </c>
      <c r="D43" t="s">
        <v>12</v>
      </c>
      <c r="E43" t="s">
        <v>18</v>
      </c>
      <c r="F43">
        <v>85</v>
      </c>
      <c r="G43">
        <v>78946.19</v>
      </c>
      <c r="H43">
        <v>3</v>
      </c>
      <c r="I43">
        <v>48</v>
      </c>
      <c r="J43" t="str">
        <f>IF(Table1[[#This Row],[Treatment Cost]]&gt;75000, "High Cost", "Low Cost")</f>
        <v>High Cost</v>
      </c>
      <c r="K43" t="str">
        <f t="shared" si="1"/>
        <v>Adult</v>
      </c>
    </row>
    <row r="44" spans="1:11" x14ac:dyDescent="0.3">
      <c r="A44" t="s">
        <v>69</v>
      </c>
      <c r="B44" t="s">
        <v>10</v>
      </c>
      <c r="C44" t="s">
        <v>11</v>
      </c>
      <c r="D44" t="s">
        <v>26</v>
      </c>
      <c r="E44" t="s">
        <v>18</v>
      </c>
      <c r="F44">
        <v>22</v>
      </c>
      <c r="G44">
        <v>100035.91</v>
      </c>
      <c r="H44">
        <v>29</v>
      </c>
      <c r="I44">
        <v>70</v>
      </c>
      <c r="J44" t="str">
        <f>IF(Table1[[#This Row],[Treatment Cost]]&gt;75000, "High Cost", "Low Cost")</f>
        <v>High Cost</v>
      </c>
      <c r="K44" t="str">
        <f t="shared" si="1"/>
        <v>Elderly</v>
      </c>
    </row>
    <row r="45" spans="1:11" x14ac:dyDescent="0.3">
      <c r="A45" t="s">
        <v>70</v>
      </c>
      <c r="B45" t="s">
        <v>15</v>
      </c>
      <c r="C45" t="s">
        <v>28</v>
      </c>
      <c r="D45" t="s">
        <v>23</v>
      </c>
      <c r="E45" t="s">
        <v>18</v>
      </c>
      <c r="F45">
        <v>62</v>
      </c>
      <c r="G45">
        <v>149340.16</v>
      </c>
      <c r="H45">
        <v>18</v>
      </c>
      <c r="I45">
        <v>49</v>
      </c>
      <c r="J45" t="str">
        <f>IF(Table1[[#This Row],[Treatment Cost]]&gt;75000, "High Cost", "Low Cost")</f>
        <v>High Cost</v>
      </c>
      <c r="K45" t="str">
        <f t="shared" si="1"/>
        <v>Young Adult</v>
      </c>
    </row>
    <row r="46" spans="1:11" x14ac:dyDescent="0.3">
      <c r="A46" t="s">
        <v>71</v>
      </c>
      <c r="B46" t="s">
        <v>10</v>
      </c>
      <c r="C46" t="s">
        <v>11</v>
      </c>
      <c r="D46" t="s">
        <v>12</v>
      </c>
      <c r="E46" t="s">
        <v>13</v>
      </c>
      <c r="F46">
        <v>79</v>
      </c>
      <c r="G46">
        <v>105328.19</v>
      </c>
      <c r="H46">
        <v>26</v>
      </c>
      <c r="I46">
        <v>94</v>
      </c>
      <c r="J46" t="str">
        <f>IF(Table1[[#This Row],[Treatment Cost]]&gt;75000, "High Cost", "Low Cost")</f>
        <v>High Cost</v>
      </c>
      <c r="K46" t="str">
        <f t="shared" si="1"/>
        <v>Senior</v>
      </c>
    </row>
    <row r="47" spans="1:11" x14ac:dyDescent="0.3">
      <c r="A47" t="s">
        <v>72</v>
      </c>
      <c r="B47" t="s">
        <v>10</v>
      </c>
      <c r="C47" t="s">
        <v>28</v>
      </c>
      <c r="D47" t="s">
        <v>12</v>
      </c>
      <c r="E47" t="s">
        <v>29</v>
      </c>
      <c r="F47">
        <v>19</v>
      </c>
      <c r="G47">
        <v>21826.12</v>
      </c>
      <c r="H47">
        <v>17</v>
      </c>
      <c r="I47">
        <v>48</v>
      </c>
      <c r="J47" t="str">
        <f>IF(Table1[[#This Row],[Treatment Cost]]&gt;75000, "High Cost", "Low Cost")</f>
        <v>Low Cost</v>
      </c>
      <c r="K47" t="str">
        <f t="shared" si="1"/>
        <v>Elderly</v>
      </c>
    </row>
    <row r="48" spans="1:11" x14ac:dyDescent="0.3">
      <c r="A48" t="s">
        <v>73</v>
      </c>
      <c r="B48" t="s">
        <v>36</v>
      </c>
      <c r="C48" t="s">
        <v>11</v>
      </c>
      <c r="D48" t="s">
        <v>32</v>
      </c>
      <c r="E48" t="s">
        <v>18</v>
      </c>
      <c r="F48">
        <v>37</v>
      </c>
      <c r="G48">
        <v>77556.53</v>
      </c>
      <c r="H48">
        <v>24</v>
      </c>
      <c r="I48">
        <v>87</v>
      </c>
      <c r="J48" t="str">
        <f>IF(Table1[[#This Row],[Treatment Cost]]&gt;75000, "High Cost", "Low Cost")</f>
        <v>High Cost</v>
      </c>
      <c r="K48" t="str">
        <f t="shared" si="1"/>
        <v>Teenager</v>
      </c>
    </row>
    <row r="49" spans="1:11" x14ac:dyDescent="0.3">
      <c r="A49" t="s">
        <v>74</v>
      </c>
      <c r="B49" t="s">
        <v>36</v>
      </c>
      <c r="C49" t="s">
        <v>28</v>
      </c>
      <c r="D49" t="s">
        <v>26</v>
      </c>
      <c r="E49" t="s">
        <v>18</v>
      </c>
      <c r="F49">
        <v>30</v>
      </c>
      <c r="G49">
        <v>53806.86</v>
      </c>
      <c r="H49">
        <v>21</v>
      </c>
      <c r="I49">
        <v>82</v>
      </c>
      <c r="J49" t="str">
        <f>IF(Table1[[#This Row],[Treatment Cost]]&gt;75000, "High Cost", "Low Cost")</f>
        <v>Low Cost</v>
      </c>
      <c r="K49" t="str">
        <f t="shared" si="1"/>
        <v>Adult</v>
      </c>
    </row>
    <row r="50" spans="1:11" x14ac:dyDescent="0.3">
      <c r="A50" t="s">
        <v>75</v>
      </c>
      <c r="B50" t="s">
        <v>15</v>
      </c>
      <c r="C50" t="s">
        <v>41</v>
      </c>
      <c r="D50" t="s">
        <v>12</v>
      </c>
      <c r="E50" t="s">
        <v>18</v>
      </c>
      <c r="F50">
        <v>66</v>
      </c>
      <c r="G50">
        <v>84096.91</v>
      </c>
      <c r="H50">
        <v>18</v>
      </c>
      <c r="I50">
        <v>91</v>
      </c>
      <c r="J50" t="str">
        <f>IF(Table1[[#This Row],[Treatment Cost]]&gt;75000, "High Cost", "Low Cost")</f>
        <v>High Cost</v>
      </c>
      <c r="K50" t="str">
        <f t="shared" si="1"/>
        <v>Adult</v>
      </c>
    </row>
    <row r="51" spans="1:11" x14ac:dyDescent="0.3">
      <c r="A51" t="s">
        <v>76</v>
      </c>
      <c r="B51" t="s">
        <v>10</v>
      </c>
      <c r="C51" t="s">
        <v>28</v>
      </c>
      <c r="D51" t="s">
        <v>12</v>
      </c>
      <c r="E51" t="s">
        <v>18</v>
      </c>
      <c r="F51">
        <v>22</v>
      </c>
      <c r="G51">
        <v>46384.67</v>
      </c>
      <c r="H51">
        <v>3</v>
      </c>
      <c r="I51">
        <v>84</v>
      </c>
      <c r="J51" t="str">
        <f>IF(Table1[[#This Row],[Treatment Cost]]&gt;75000, "High Cost", "Low Cost")</f>
        <v>Low Cost</v>
      </c>
      <c r="K51" t="str">
        <f t="shared" si="1"/>
        <v>Senior</v>
      </c>
    </row>
    <row r="52" spans="1:11" x14ac:dyDescent="0.3">
      <c r="A52" t="s">
        <v>77</v>
      </c>
      <c r="B52" t="s">
        <v>10</v>
      </c>
      <c r="C52" t="s">
        <v>28</v>
      </c>
      <c r="D52" t="s">
        <v>17</v>
      </c>
      <c r="E52" t="s">
        <v>18</v>
      </c>
      <c r="F52">
        <v>60</v>
      </c>
      <c r="G52">
        <v>122442.43</v>
      </c>
      <c r="H52">
        <v>6</v>
      </c>
      <c r="I52">
        <v>94</v>
      </c>
      <c r="J52" t="str">
        <f>IF(Table1[[#This Row],[Treatment Cost]]&gt;75000, "High Cost", "Low Cost")</f>
        <v>High Cost</v>
      </c>
      <c r="K52" t="str">
        <f t="shared" si="1"/>
        <v>Young Adult</v>
      </c>
    </row>
    <row r="53" spans="1:11" x14ac:dyDescent="0.3">
      <c r="A53" t="s">
        <v>78</v>
      </c>
      <c r="B53" t="s">
        <v>31</v>
      </c>
      <c r="C53" t="s">
        <v>16</v>
      </c>
      <c r="D53" t="s">
        <v>12</v>
      </c>
      <c r="E53" t="s">
        <v>29</v>
      </c>
      <c r="F53">
        <v>35</v>
      </c>
      <c r="G53">
        <v>73863.679999999993</v>
      </c>
      <c r="H53">
        <v>17</v>
      </c>
      <c r="I53">
        <v>42</v>
      </c>
      <c r="J53" t="str">
        <f>IF(Table1[[#This Row],[Treatment Cost]]&gt;75000, "High Cost", "Low Cost")</f>
        <v>Low Cost</v>
      </c>
      <c r="K53" t="str">
        <f t="shared" si="1"/>
        <v>Senior</v>
      </c>
    </row>
    <row r="54" spans="1:11" x14ac:dyDescent="0.3">
      <c r="A54" t="s">
        <v>79</v>
      </c>
      <c r="B54" t="s">
        <v>22</v>
      </c>
      <c r="C54" t="s">
        <v>11</v>
      </c>
      <c r="D54" t="s">
        <v>23</v>
      </c>
      <c r="E54" t="s">
        <v>13</v>
      </c>
      <c r="F54">
        <v>21</v>
      </c>
      <c r="G54">
        <v>75334.19</v>
      </c>
      <c r="H54">
        <v>23</v>
      </c>
      <c r="I54">
        <v>51</v>
      </c>
      <c r="J54" t="str">
        <f>IF(Table1[[#This Row],[Treatment Cost]]&gt;75000, "High Cost", "Low Cost")</f>
        <v>High Cost</v>
      </c>
      <c r="K54" t="str">
        <f t="shared" si="1"/>
        <v>Adult</v>
      </c>
    </row>
    <row r="55" spans="1:11" x14ac:dyDescent="0.3">
      <c r="A55" t="s">
        <v>80</v>
      </c>
      <c r="B55" t="s">
        <v>31</v>
      </c>
      <c r="C55" t="s">
        <v>28</v>
      </c>
      <c r="D55" t="s">
        <v>17</v>
      </c>
      <c r="E55" t="s">
        <v>29</v>
      </c>
      <c r="F55">
        <v>51</v>
      </c>
      <c r="G55">
        <v>59829.99</v>
      </c>
      <c r="H55">
        <v>2</v>
      </c>
      <c r="I55">
        <v>40</v>
      </c>
      <c r="J55" t="str">
        <f>IF(Table1[[#This Row],[Treatment Cost]]&gt;75000, "High Cost", "Low Cost")</f>
        <v>Low Cost</v>
      </c>
      <c r="K55" t="str">
        <f t="shared" si="1"/>
        <v>Young Adult</v>
      </c>
    </row>
    <row r="56" spans="1:11" x14ac:dyDescent="0.3">
      <c r="A56" t="s">
        <v>81</v>
      </c>
      <c r="B56" t="s">
        <v>31</v>
      </c>
      <c r="C56" t="s">
        <v>28</v>
      </c>
      <c r="D56" t="s">
        <v>32</v>
      </c>
      <c r="E56" t="s">
        <v>13</v>
      </c>
      <c r="F56">
        <v>87</v>
      </c>
      <c r="G56">
        <v>5444.8</v>
      </c>
      <c r="H56">
        <v>5</v>
      </c>
      <c r="I56">
        <v>42</v>
      </c>
      <c r="J56" t="str">
        <f>IF(Table1[[#This Row],[Treatment Cost]]&gt;75000, "High Cost", "Low Cost")</f>
        <v>Low Cost</v>
      </c>
      <c r="K56" t="str">
        <f t="shared" si="1"/>
        <v>Middle-aged</v>
      </c>
    </row>
    <row r="57" spans="1:11" x14ac:dyDescent="0.3">
      <c r="A57" t="s">
        <v>82</v>
      </c>
      <c r="B57" t="s">
        <v>25</v>
      </c>
      <c r="C57" t="s">
        <v>11</v>
      </c>
      <c r="D57" t="s">
        <v>17</v>
      </c>
      <c r="E57" t="s">
        <v>18</v>
      </c>
      <c r="F57">
        <v>11</v>
      </c>
      <c r="G57">
        <v>39022.85</v>
      </c>
      <c r="H57">
        <v>8</v>
      </c>
      <c r="I57">
        <v>96</v>
      </c>
      <c r="J57" t="str">
        <f>IF(Table1[[#This Row],[Treatment Cost]]&gt;75000, "High Cost", "Low Cost")</f>
        <v>Low Cost</v>
      </c>
      <c r="K57" t="str">
        <f t="shared" si="1"/>
        <v>Elderly</v>
      </c>
    </row>
    <row r="58" spans="1:11" x14ac:dyDescent="0.3">
      <c r="A58" t="s">
        <v>83</v>
      </c>
      <c r="B58" t="s">
        <v>15</v>
      </c>
      <c r="C58" t="s">
        <v>11</v>
      </c>
      <c r="D58" t="s">
        <v>12</v>
      </c>
      <c r="E58" t="s">
        <v>18</v>
      </c>
      <c r="F58">
        <v>7</v>
      </c>
      <c r="G58">
        <v>127110.45</v>
      </c>
      <c r="H58">
        <v>30</v>
      </c>
      <c r="I58">
        <v>100</v>
      </c>
      <c r="J58" t="str">
        <f>IF(Table1[[#This Row],[Treatment Cost]]&gt;75000, "High Cost", "Low Cost")</f>
        <v>High Cost</v>
      </c>
      <c r="K58" t="str">
        <f t="shared" si="1"/>
        <v>Child</v>
      </c>
    </row>
    <row r="59" spans="1:11" x14ac:dyDescent="0.3">
      <c r="A59" t="s">
        <v>84</v>
      </c>
      <c r="B59" t="s">
        <v>25</v>
      </c>
      <c r="C59" t="s">
        <v>16</v>
      </c>
      <c r="D59" t="s">
        <v>17</v>
      </c>
      <c r="E59" t="s">
        <v>29</v>
      </c>
      <c r="F59">
        <v>80</v>
      </c>
      <c r="G59">
        <v>120082.46</v>
      </c>
      <c r="H59">
        <v>16</v>
      </c>
      <c r="I59">
        <v>93</v>
      </c>
      <c r="J59" t="str">
        <f>IF(Table1[[#This Row],[Treatment Cost]]&gt;75000, "High Cost", "Low Cost")</f>
        <v>High Cost</v>
      </c>
      <c r="K59" t="str">
        <f t="shared" si="1"/>
        <v>Child</v>
      </c>
    </row>
    <row r="60" spans="1:11" x14ac:dyDescent="0.3">
      <c r="A60" t="s">
        <v>85</v>
      </c>
      <c r="B60" t="s">
        <v>15</v>
      </c>
      <c r="C60" t="s">
        <v>28</v>
      </c>
      <c r="D60" t="s">
        <v>17</v>
      </c>
      <c r="E60" t="s">
        <v>18</v>
      </c>
      <c r="F60">
        <v>75</v>
      </c>
      <c r="G60">
        <v>79671.37</v>
      </c>
      <c r="H60">
        <v>30</v>
      </c>
      <c r="I60">
        <v>43</v>
      </c>
      <c r="J60" t="str">
        <f>IF(Table1[[#This Row],[Treatment Cost]]&gt;75000, "High Cost", "Low Cost")</f>
        <v>High Cost</v>
      </c>
      <c r="K60" t="str">
        <f t="shared" si="1"/>
        <v>Elderly</v>
      </c>
    </row>
    <row r="61" spans="1:11" x14ac:dyDescent="0.3">
      <c r="A61" t="s">
        <v>86</v>
      </c>
      <c r="B61" t="s">
        <v>10</v>
      </c>
      <c r="C61" t="s">
        <v>41</v>
      </c>
      <c r="D61" t="s">
        <v>12</v>
      </c>
      <c r="E61" t="s">
        <v>18</v>
      </c>
      <c r="F61">
        <v>7</v>
      </c>
      <c r="G61">
        <v>66277.52</v>
      </c>
      <c r="H61">
        <v>26</v>
      </c>
      <c r="I61">
        <v>69</v>
      </c>
      <c r="J61" t="str">
        <f>IF(Table1[[#This Row],[Treatment Cost]]&gt;75000, "High Cost", "Low Cost")</f>
        <v>Low Cost</v>
      </c>
      <c r="K61" t="str">
        <f t="shared" si="1"/>
        <v>Elderly</v>
      </c>
    </row>
    <row r="62" spans="1:11" x14ac:dyDescent="0.3">
      <c r="A62" t="s">
        <v>87</v>
      </c>
      <c r="B62" t="s">
        <v>22</v>
      </c>
      <c r="C62" t="s">
        <v>11</v>
      </c>
      <c r="D62" t="s">
        <v>32</v>
      </c>
      <c r="E62" t="s">
        <v>13</v>
      </c>
      <c r="F62">
        <v>14</v>
      </c>
      <c r="G62">
        <v>12241.3</v>
      </c>
      <c r="H62">
        <v>20</v>
      </c>
      <c r="I62">
        <v>40</v>
      </c>
      <c r="J62" t="str">
        <f>IF(Table1[[#This Row],[Treatment Cost]]&gt;75000, "High Cost", "Low Cost")</f>
        <v>Low Cost</v>
      </c>
      <c r="K62" t="str">
        <f t="shared" si="1"/>
        <v>Child</v>
      </c>
    </row>
    <row r="63" spans="1:11" x14ac:dyDescent="0.3">
      <c r="A63" t="s">
        <v>88</v>
      </c>
      <c r="B63" t="s">
        <v>36</v>
      </c>
      <c r="C63" t="s">
        <v>28</v>
      </c>
      <c r="D63" t="s">
        <v>17</v>
      </c>
      <c r="E63" t="s">
        <v>18</v>
      </c>
      <c r="F63">
        <v>22</v>
      </c>
      <c r="G63">
        <v>133882.43</v>
      </c>
      <c r="H63">
        <v>29</v>
      </c>
      <c r="I63">
        <v>63</v>
      </c>
      <c r="J63" t="str">
        <f>IF(Table1[[#This Row],[Treatment Cost]]&gt;75000, "High Cost", "Low Cost")</f>
        <v>High Cost</v>
      </c>
      <c r="K63" t="str">
        <f t="shared" si="1"/>
        <v>Teenager</v>
      </c>
    </row>
    <row r="64" spans="1:11" x14ac:dyDescent="0.3">
      <c r="A64" t="s">
        <v>89</v>
      </c>
      <c r="B64" t="s">
        <v>25</v>
      </c>
      <c r="C64" t="s">
        <v>41</v>
      </c>
      <c r="D64" t="s">
        <v>12</v>
      </c>
      <c r="E64" t="s">
        <v>29</v>
      </c>
      <c r="F64">
        <v>73</v>
      </c>
      <c r="G64">
        <v>148488.95000000001</v>
      </c>
      <c r="H64">
        <v>22</v>
      </c>
      <c r="I64">
        <v>77</v>
      </c>
      <c r="J64" t="str">
        <f>IF(Table1[[#This Row],[Treatment Cost]]&gt;75000, "High Cost", "Low Cost")</f>
        <v>High Cost</v>
      </c>
      <c r="K64" t="str">
        <f t="shared" si="1"/>
        <v>Young Adult</v>
      </c>
    </row>
    <row r="65" spans="1:11" x14ac:dyDescent="0.3">
      <c r="A65" t="s">
        <v>90</v>
      </c>
      <c r="B65" t="s">
        <v>31</v>
      </c>
      <c r="C65" t="s">
        <v>16</v>
      </c>
      <c r="D65" t="s">
        <v>12</v>
      </c>
      <c r="E65" t="s">
        <v>29</v>
      </c>
      <c r="F65">
        <v>5</v>
      </c>
      <c r="G65">
        <v>74239.37</v>
      </c>
      <c r="H65">
        <v>7</v>
      </c>
      <c r="I65">
        <v>61</v>
      </c>
      <c r="J65" t="str">
        <f>IF(Table1[[#This Row],[Treatment Cost]]&gt;75000, "High Cost", "Low Cost")</f>
        <v>Low Cost</v>
      </c>
      <c r="K65" t="str">
        <f t="shared" si="1"/>
        <v>Senior</v>
      </c>
    </row>
    <row r="66" spans="1:11" x14ac:dyDescent="0.3">
      <c r="A66" t="s">
        <v>91</v>
      </c>
      <c r="B66" t="s">
        <v>22</v>
      </c>
      <c r="C66" t="s">
        <v>16</v>
      </c>
      <c r="D66" t="s">
        <v>32</v>
      </c>
      <c r="E66" t="s">
        <v>18</v>
      </c>
      <c r="F66">
        <v>6</v>
      </c>
      <c r="G66">
        <v>98732.94</v>
      </c>
      <c r="H66">
        <v>25</v>
      </c>
      <c r="I66">
        <v>45</v>
      </c>
      <c r="J66" t="str">
        <f>IF(Table1[[#This Row],[Treatment Cost]]&gt;75000, "High Cost", "Low Cost")</f>
        <v>High Cost</v>
      </c>
      <c r="K66" t="str">
        <f t="shared" ref="K66:K97" si="2">IF(A65&lt;=5,"Infant / Toddler",
IF(F65&lt;=12,"Child",
IF(F65&lt;=19,"Teenager",
IF(F65&lt;=29,"Young Adult",
IF(F65&lt;=44,"Adult",
IF(F65&lt;=59,"Middle-aged",
IF(F65&lt;=74,"Senior","Elderly")))))))</f>
        <v>Child</v>
      </c>
    </row>
    <row r="67" spans="1:11" x14ac:dyDescent="0.3">
      <c r="A67" t="s">
        <v>92</v>
      </c>
      <c r="B67" t="s">
        <v>10</v>
      </c>
      <c r="C67" t="s">
        <v>11</v>
      </c>
      <c r="D67" t="s">
        <v>23</v>
      </c>
      <c r="E67" t="s">
        <v>13</v>
      </c>
      <c r="F67">
        <v>4</v>
      </c>
      <c r="G67">
        <v>66339.33</v>
      </c>
      <c r="H67">
        <v>5</v>
      </c>
      <c r="I67">
        <v>77</v>
      </c>
      <c r="J67" t="str">
        <f>IF(Table1[[#This Row],[Treatment Cost]]&gt;75000, "High Cost", "Low Cost")</f>
        <v>Low Cost</v>
      </c>
      <c r="K67" t="str">
        <f t="shared" si="2"/>
        <v>Child</v>
      </c>
    </row>
    <row r="68" spans="1:11" x14ac:dyDescent="0.3">
      <c r="A68" t="s">
        <v>93</v>
      </c>
      <c r="B68" t="s">
        <v>10</v>
      </c>
      <c r="C68" t="s">
        <v>16</v>
      </c>
      <c r="D68" t="s">
        <v>32</v>
      </c>
      <c r="E68" t="s">
        <v>18</v>
      </c>
      <c r="F68">
        <v>14</v>
      </c>
      <c r="G68">
        <v>113363.27</v>
      </c>
      <c r="H68">
        <v>9</v>
      </c>
      <c r="I68">
        <v>74</v>
      </c>
      <c r="J68" t="str">
        <f>IF(Table1[[#This Row],[Treatment Cost]]&gt;75000, "High Cost", "Low Cost")</f>
        <v>High Cost</v>
      </c>
      <c r="K68" t="str">
        <f t="shared" si="2"/>
        <v>Child</v>
      </c>
    </row>
    <row r="69" spans="1:11" x14ac:dyDescent="0.3">
      <c r="A69" t="s">
        <v>94</v>
      </c>
      <c r="B69" t="s">
        <v>10</v>
      </c>
      <c r="C69" t="s">
        <v>16</v>
      </c>
      <c r="D69" t="s">
        <v>32</v>
      </c>
      <c r="E69" t="s">
        <v>13</v>
      </c>
      <c r="F69">
        <v>11</v>
      </c>
      <c r="G69">
        <v>24492.09</v>
      </c>
      <c r="H69">
        <v>8</v>
      </c>
      <c r="I69">
        <v>58</v>
      </c>
      <c r="J69" t="str">
        <f>IF(Table1[[#This Row],[Treatment Cost]]&gt;75000, "High Cost", "Low Cost")</f>
        <v>Low Cost</v>
      </c>
      <c r="K69" t="str">
        <f t="shared" si="2"/>
        <v>Teenager</v>
      </c>
    </row>
    <row r="70" spans="1:11" x14ac:dyDescent="0.3">
      <c r="A70" t="s">
        <v>95</v>
      </c>
      <c r="B70" t="s">
        <v>25</v>
      </c>
      <c r="C70" t="s">
        <v>16</v>
      </c>
      <c r="D70" t="s">
        <v>32</v>
      </c>
      <c r="E70" t="s">
        <v>13</v>
      </c>
      <c r="F70">
        <v>19</v>
      </c>
      <c r="G70">
        <v>42080.85</v>
      </c>
      <c r="H70">
        <v>29</v>
      </c>
      <c r="I70">
        <v>65</v>
      </c>
      <c r="J70" t="str">
        <f>IF(Table1[[#This Row],[Treatment Cost]]&gt;75000, "High Cost", "Low Cost")</f>
        <v>Low Cost</v>
      </c>
      <c r="K70" t="str">
        <f t="shared" si="2"/>
        <v>Child</v>
      </c>
    </row>
    <row r="71" spans="1:11" x14ac:dyDescent="0.3">
      <c r="A71" t="s">
        <v>96</v>
      </c>
      <c r="B71" t="s">
        <v>31</v>
      </c>
      <c r="C71" t="s">
        <v>16</v>
      </c>
      <c r="D71" t="s">
        <v>23</v>
      </c>
      <c r="E71" t="s">
        <v>29</v>
      </c>
      <c r="F71">
        <v>56</v>
      </c>
      <c r="G71">
        <v>147658.16</v>
      </c>
      <c r="H71">
        <v>11</v>
      </c>
      <c r="I71">
        <v>96</v>
      </c>
      <c r="J71" t="str">
        <f>IF(Table1[[#This Row],[Treatment Cost]]&gt;75000, "High Cost", "Low Cost")</f>
        <v>High Cost</v>
      </c>
      <c r="K71" t="str">
        <f t="shared" si="2"/>
        <v>Teenager</v>
      </c>
    </row>
    <row r="72" spans="1:11" x14ac:dyDescent="0.3">
      <c r="A72" t="s">
        <v>97</v>
      </c>
      <c r="B72" t="s">
        <v>22</v>
      </c>
      <c r="C72" t="s">
        <v>16</v>
      </c>
      <c r="D72" t="s">
        <v>12</v>
      </c>
      <c r="E72" t="s">
        <v>13</v>
      </c>
      <c r="F72">
        <v>40</v>
      </c>
      <c r="G72">
        <v>79386.600000000006</v>
      </c>
      <c r="H72">
        <v>21</v>
      </c>
      <c r="I72">
        <v>67</v>
      </c>
      <c r="J72" t="str">
        <f>IF(Table1[[#This Row],[Treatment Cost]]&gt;75000, "High Cost", "Low Cost")</f>
        <v>High Cost</v>
      </c>
      <c r="K72" t="str">
        <f t="shared" si="2"/>
        <v>Middle-aged</v>
      </c>
    </row>
    <row r="73" spans="1:11" x14ac:dyDescent="0.3">
      <c r="A73" t="s">
        <v>98</v>
      </c>
      <c r="B73" t="s">
        <v>36</v>
      </c>
      <c r="C73" t="s">
        <v>41</v>
      </c>
      <c r="D73" t="s">
        <v>17</v>
      </c>
      <c r="E73" t="s">
        <v>18</v>
      </c>
      <c r="F73">
        <v>6</v>
      </c>
      <c r="G73">
        <v>22175.37</v>
      </c>
      <c r="H73">
        <v>17</v>
      </c>
      <c r="I73">
        <v>82</v>
      </c>
      <c r="J73" t="str">
        <f>IF(Table1[[#This Row],[Treatment Cost]]&gt;75000, "High Cost", "Low Cost")</f>
        <v>Low Cost</v>
      </c>
      <c r="K73" t="str">
        <f t="shared" si="2"/>
        <v>Adult</v>
      </c>
    </row>
    <row r="74" spans="1:11" x14ac:dyDescent="0.3">
      <c r="A74" t="s">
        <v>99</v>
      </c>
      <c r="B74" t="s">
        <v>31</v>
      </c>
      <c r="C74" t="s">
        <v>28</v>
      </c>
      <c r="D74" t="s">
        <v>12</v>
      </c>
      <c r="E74" t="s">
        <v>29</v>
      </c>
      <c r="F74">
        <v>62</v>
      </c>
      <c r="G74">
        <v>16296.15</v>
      </c>
      <c r="H74">
        <v>28</v>
      </c>
      <c r="I74">
        <v>63</v>
      </c>
      <c r="J74" t="str">
        <f>IF(Table1[[#This Row],[Treatment Cost]]&gt;75000, "High Cost", "Low Cost")</f>
        <v>Low Cost</v>
      </c>
      <c r="K74" t="str">
        <f t="shared" si="2"/>
        <v>Child</v>
      </c>
    </row>
    <row r="75" spans="1:11" x14ac:dyDescent="0.3">
      <c r="A75" t="s">
        <v>100</v>
      </c>
      <c r="B75" t="s">
        <v>31</v>
      </c>
      <c r="C75" t="s">
        <v>41</v>
      </c>
      <c r="D75" t="s">
        <v>12</v>
      </c>
      <c r="E75" t="s">
        <v>29</v>
      </c>
      <c r="F75">
        <v>56</v>
      </c>
      <c r="G75">
        <v>120488.57</v>
      </c>
      <c r="H75">
        <v>30</v>
      </c>
      <c r="I75">
        <v>48</v>
      </c>
      <c r="J75" t="str">
        <f>IF(Table1[[#This Row],[Treatment Cost]]&gt;75000, "High Cost", "Low Cost")</f>
        <v>High Cost</v>
      </c>
      <c r="K75" t="str">
        <f t="shared" si="2"/>
        <v>Senior</v>
      </c>
    </row>
    <row r="76" spans="1:11" x14ac:dyDescent="0.3">
      <c r="A76" t="s">
        <v>101</v>
      </c>
      <c r="B76" t="s">
        <v>22</v>
      </c>
      <c r="C76" t="s">
        <v>28</v>
      </c>
      <c r="D76" t="s">
        <v>12</v>
      </c>
      <c r="E76" t="s">
        <v>13</v>
      </c>
      <c r="F76">
        <v>8</v>
      </c>
      <c r="G76">
        <v>111873.66</v>
      </c>
      <c r="H76">
        <v>16</v>
      </c>
      <c r="I76">
        <v>74</v>
      </c>
      <c r="J76" t="str">
        <f>IF(Table1[[#This Row],[Treatment Cost]]&gt;75000, "High Cost", "Low Cost")</f>
        <v>High Cost</v>
      </c>
      <c r="K76" t="str">
        <f t="shared" si="2"/>
        <v>Middle-aged</v>
      </c>
    </row>
    <row r="77" spans="1:11" x14ac:dyDescent="0.3">
      <c r="A77" t="s">
        <v>102</v>
      </c>
      <c r="B77" t="s">
        <v>22</v>
      </c>
      <c r="C77" t="s">
        <v>16</v>
      </c>
      <c r="D77" t="s">
        <v>23</v>
      </c>
      <c r="E77" t="s">
        <v>18</v>
      </c>
      <c r="F77">
        <v>62</v>
      </c>
      <c r="G77">
        <v>27610.65</v>
      </c>
      <c r="H77">
        <v>26</v>
      </c>
      <c r="I77">
        <v>72</v>
      </c>
      <c r="J77" t="str">
        <f>IF(Table1[[#This Row],[Treatment Cost]]&gt;75000, "High Cost", "Low Cost")</f>
        <v>Low Cost</v>
      </c>
      <c r="K77" t="str">
        <f t="shared" si="2"/>
        <v>Child</v>
      </c>
    </row>
    <row r="78" spans="1:11" x14ac:dyDescent="0.3">
      <c r="A78" t="s">
        <v>103</v>
      </c>
      <c r="B78" t="s">
        <v>22</v>
      </c>
      <c r="C78" t="s">
        <v>41</v>
      </c>
      <c r="D78" t="s">
        <v>32</v>
      </c>
      <c r="E78" t="s">
        <v>29</v>
      </c>
      <c r="F78">
        <v>17</v>
      </c>
      <c r="G78">
        <v>142458.98000000001</v>
      </c>
      <c r="H78">
        <v>6</v>
      </c>
      <c r="I78">
        <v>69</v>
      </c>
      <c r="J78" t="str">
        <f>IF(Table1[[#This Row],[Treatment Cost]]&gt;75000, "High Cost", "Low Cost")</f>
        <v>High Cost</v>
      </c>
      <c r="K78" t="str">
        <f t="shared" si="2"/>
        <v>Senior</v>
      </c>
    </row>
    <row r="79" spans="1:11" x14ac:dyDescent="0.3">
      <c r="A79" t="s">
        <v>104</v>
      </c>
      <c r="B79" t="s">
        <v>22</v>
      </c>
      <c r="C79" t="s">
        <v>11</v>
      </c>
      <c r="D79" t="s">
        <v>23</v>
      </c>
      <c r="E79" t="s">
        <v>29</v>
      </c>
      <c r="F79">
        <v>7</v>
      </c>
      <c r="G79">
        <v>23799.83</v>
      </c>
      <c r="H79">
        <v>26</v>
      </c>
      <c r="I79">
        <v>52</v>
      </c>
      <c r="J79" t="str">
        <f>IF(Table1[[#This Row],[Treatment Cost]]&gt;75000, "High Cost", "Low Cost")</f>
        <v>Low Cost</v>
      </c>
      <c r="K79" t="str">
        <f t="shared" si="2"/>
        <v>Teenager</v>
      </c>
    </row>
    <row r="80" spans="1:11" x14ac:dyDescent="0.3">
      <c r="A80" t="s">
        <v>105</v>
      </c>
      <c r="B80" t="s">
        <v>36</v>
      </c>
      <c r="C80" t="s">
        <v>41</v>
      </c>
      <c r="D80" t="s">
        <v>12</v>
      </c>
      <c r="E80" t="s">
        <v>29</v>
      </c>
      <c r="F80">
        <v>49</v>
      </c>
      <c r="G80">
        <v>117019.47</v>
      </c>
      <c r="H80">
        <v>28</v>
      </c>
      <c r="I80">
        <v>63</v>
      </c>
      <c r="J80" t="str">
        <f>IF(Table1[[#This Row],[Treatment Cost]]&gt;75000, "High Cost", "Low Cost")</f>
        <v>High Cost</v>
      </c>
      <c r="K80" t="str">
        <f t="shared" si="2"/>
        <v>Child</v>
      </c>
    </row>
    <row r="81" spans="1:11" x14ac:dyDescent="0.3">
      <c r="A81" t="s">
        <v>106</v>
      </c>
      <c r="B81" t="s">
        <v>36</v>
      </c>
      <c r="C81" t="s">
        <v>11</v>
      </c>
      <c r="D81" t="s">
        <v>32</v>
      </c>
      <c r="E81" t="s">
        <v>29</v>
      </c>
      <c r="F81">
        <v>12</v>
      </c>
      <c r="G81">
        <v>69472.05</v>
      </c>
      <c r="H81">
        <v>11</v>
      </c>
      <c r="I81">
        <v>68</v>
      </c>
      <c r="J81" t="str">
        <f>IF(Table1[[#This Row],[Treatment Cost]]&gt;75000, "High Cost", "Low Cost")</f>
        <v>Low Cost</v>
      </c>
      <c r="K81" t="str">
        <f t="shared" si="2"/>
        <v>Middle-aged</v>
      </c>
    </row>
    <row r="82" spans="1:11" x14ac:dyDescent="0.3">
      <c r="A82" t="s">
        <v>107</v>
      </c>
      <c r="B82" t="s">
        <v>25</v>
      </c>
      <c r="C82" t="s">
        <v>11</v>
      </c>
      <c r="D82" t="s">
        <v>32</v>
      </c>
      <c r="E82" t="s">
        <v>13</v>
      </c>
      <c r="F82">
        <v>5</v>
      </c>
      <c r="G82">
        <v>64103.040000000001</v>
      </c>
      <c r="H82">
        <v>14</v>
      </c>
      <c r="I82">
        <v>42</v>
      </c>
      <c r="J82" t="str">
        <f>IF(Table1[[#This Row],[Treatment Cost]]&gt;75000, "High Cost", "Low Cost")</f>
        <v>Low Cost</v>
      </c>
      <c r="K82" t="str">
        <f t="shared" si="2"/>
        <v>Child</v>
      </c>
    </row>
    <row r="83" spans="1:11" x14ac:dyDescent="0.3">
      <c r="A83" t="s">
        <v>108</v>
      </c>
      <c r="B83" t="s">
        <v>22</v>
      </c>
      <c r="C83" t="s">
        <v>11</v>
      </c>
      <c r="D83" t="s">
        <v>12</v>
      </c>
      <c r="E83" t="s">
        <v>29</v>
      </c>
      <c r="F83">
        <v>13</v>
      </c>
      <c r="G83">
        <v>137441.75</v>
      </c>
      <c r="H83">
        <v>23</v>
      </c>
      <c r="I83">
        <v>74</v>
      </c>
      <c r="J83" t="str">
        <f>IF(Table1[[#This Row],[Treatment Cost]]&gt;75000, "High Cost", "Low Cost")</f>
        <v>High Cost</v>
      </c>
      <c r="K83" t="str">
        <f t="shared" si="2"/>
        <v>Child</v>
      </c>
    </row>
    <row r="84" spans="1:11" x14ac:dyDescent="0.3">
      <c r="A84" t="s">
        <v>109</v>
      </c>
      <c r="B84" t="s">
        <v>25</v>
      </c>
      <c r="C84" t="s">
        <v>11</v>
      </c>
      <c r="D84" t="s">
        <v>23</v>
      </c>
      <c r="E84" t="s">
        <v>13</v>
      </c>
      <c r="F84">
        <v>71</v>
      </c>
      <c r="G84">
        <v>11066.61</v>
      </c>
      <c r="H84">
        <v>17</v>
      </c>
      <c r="I84">
        <v>86</v>
      </c>
      <c r="J84" t="str">
        <f>IF(Table1[[#This Row],[Treatment Cost]]&gt;75000, "High Cost", "Low Cost")</f>
        <v>Low Cost</v>
      </c>
      <c r="K84" t="str">
        <f t="shared" si="2"/>
        <v>Teenager</v>
      </c>
    </row>
    <row r="85" spans="1:11" x14ac:dyDescent="0.3">
      <c r="A85" t="s">
        <v>110</v>
      </c>
      <c r="B85" t="s">
        <v>31</v>
      </c>
      <c r="C85" t="s">
        <v>16</v>
      </c>
      <c r="D85" t="s">
        <v>26</v>
      </c>
      <c r="E85" t="s">
        <v>13</v>
      </c>
      <c r="F85">
        <v>87</v>
      </c>
      <c r="G85">
        <v>36726.76</v>
      </c>
      <c r="H85">
        <v>4</v>
      </c>
      <c r="I85">
        <v>53</v>
      </c>
      <c r="J85" t="str">
        <f>IF(Table1[[#This Row],[Treatment Cost]]&gt;75000, "High Cost", "Low Cost")</f>
        <v>Low Cost</v>
      </c>
      <c r="K85" t="str">
        <f t="shared" si="2"/>
        <v>Senior</v>
      </c>
    </row>
    <row r="86" spans="1:11" x14ac:dyDescent="0.3">
      <c r="A86" t="s">
        <v>111</v>
      </c>
      <c r="B86" t="s">
        <v>15</v>
      </c>
      <c r="C86" t="s">
        <v>16</v>
      </c>
      <c r="D86" t="s">
        <v>17</v>
      </c>
      <c r="E86" t="s">
        <v>29</v>
      </c>
      <c r="F86">
        <v>40</v>
      </c>
      <c r="G86">
        <v>19717.900000000001</v>
      </c>
      <c r="H86">
        <v>20</v>
      </c>
      <c r="I86">
        <v>63</v>
      </c>
      <c r="J86" t="str">
        <f>IF(Table1[[#This Row],[Treatment Cost]]&gt;75000, "High Cost", "Low Cost")</f>
        <v>Low Cost</v>
      </c>
      <c r="K86" t="str">
        <f t="shared" si="2"/>
        <v>Elderly</v>
      </c>
    </row>
    <row r="87" spans="1:11" x14ac:dyDescent="0.3">
      <c r="A87" t="s">
        <v>112</v>
      </c>
      <c r="B87" t="s">
        <v>36</v>
      </c>
      <c r="C87" t="s">
        <v>16</v>
      </c>
      <c r="D87" t="s">
        <v>26</v>
      </c>
      <c r="E87" t="s">
        <v>29</v>
      </c>
      <c r="F87">
        <v>63</v>
      </c>
      <c r="G87">
        <v>82657.039999999994</v>
      </c>
      <c r="H87">
        <v>4</v>
      </c>
      <c r="I87">
        <v>55</v>
      </c>
      <c r="J87" t="str">
        <f>IF(Table1[[#This Row],[Treatment Cost]]&gt;75000, "High Cost", "Low Cost")</f>
        <v>High Cost</v>
      </c>
      <c r="K87" t="str">
        <f t="shared" si="2"/>
        <v>Adult</v>
      </c>
    </row>
    <row r="88" spans="1:11" x14ac:dyDescent="0.3">
      <c r="A88" t="s">
        <v>113</v>
      </c>
      <c r="B88" t="s">
        <v>15</v>
      </c>
      <c r="C88" t="s">
        <v>16</v>
      </c>
      <c r="D88" t="s">
        <v>17</v>
      </c>
      <c r="E88" t="s">
        <v>29</v>
      </c>
      <c r="F88">
        <v>1</v>
      </c>
      <c r="G88">
        <v>16874.009999999998</v>
      </c>
      <c r="H88">
        <v>14</v>
      </c>
      <c r="I88">
        <v>76</v>
      </c>
      <c r="J88" t="str">
        <f>IF(Table1[[#This Row],[Treatment Cost]]&gt;75000, "High Cost", "Low Cost")</f>
        <v>Low Cost</v>
      </c>
      <c r="K88" t="str">
        <f t="shared" si="2"/>
        <v>Senior</v>
      </c>
    </row>
    <row r="89" spans="1:11" x14ac:dyDescent="0.3">
      <c r="A89" t="s">
        <v>114</v>
      </c>
      <c r="B89" t="s">
        <v>15</v>
      </c>
      <c r="C89" t="s">
        <v>41</v>
      </c>
      <c r="D89" t="s">
        <v>12</v>
      </c>
      <c r="E89" t="s">
        <v>18</v>
      </c>
      <c r="F89">
        <v>37</v>
      </c>
      <c r="G89">
        <v>8578.83</v>
      </c>
      <c r="H89">
        <v>2</v>
      </c>
      <c r="I89">
        <v>90</v>
      </c>
      <c r="J89" t="str">
        <f>IF(Table1[[#This Row],[Treatment Cost]]&gt;75000, "High Cost", "Low Cost")</f>
        <v>Low Cost</v>
      </c>
      <c r="K89" t="str">
        <f t="shared" si="2"/>
        <v>Child</v>
      </c>
    </row>
    <row r="90" spans="1:11" x14ac:dyDescent="0.3">
      <c r="A90" t="s">
        <v>115</v>
      </c>
      <c r="B90" t="s">
        <v>36</v>
      </c>
      <c r="C90" t="s">
        <v>11</v>
      </c>
      <c r="D90" t="s">
        <v>17</v>
      </c>
      <c r="E90" t="s">
        <v>18</v>
      </c>
      <c r="F90">
        <v>7</v>
      </c>
      <c r="G90">
        <v>22311.39</v>
      </c>
      <c r="H90">
        <v>14</v>
      </c>
      <c r="I90">
        <v>86</v>
      </c>
      <c r="J90" t="str">
        <f>IF(Table1[[#This Row],[Treatment Cost]]&gt;75000, "High Cost", "Low Cost")</f>
        <v>Low Cost</v>
      </c>
      <c r="K90" t="str">
        <f t="shared" si="2"/>
        <v>Adult</v>
      </c>
    </row>
    <row r="91" spans="1:11" x14ac:dyDescent="0.3">
      <c r="A91" t="s">
        <v>116</v>
      </c>
      <c r="B91" t="s">
        <v>25</v>
      </c>
      <c r="C91" t="s">
        <v>41</v>
      </c>
      <c r="D91" t="s">
        <v>12</v>
      </c>
      <c r="E91" t="s">
        <v>29</v>
      </c>
      <c r="F91">
        <v>46</v>
      </c>
      <c r="G91">
        <v>128560.01</v>
      </c>
      <c r="H91">
        <v>7</v>
      </c>
      <c r="I91">
        <v>52</v>
      </c>
      <c r="J91" t="str">
        <f>IF(Table1[[#This Row],[Treatment Cost]]&gt;75000, "High Cost", "Low Cost")</f>
        <v>High Cost</v>
      </c>
      <c r="K91" t="str">
        <f t="shared" si="2"/>
        <v>Child</v>
      </c>
    </row>
    <row r="92" spans="1:11" x14ac:dyDescent="0.3">
      <c r="A92" t="s">
        <v>117</v>
      </c>
      <c r="B92" t="s">
        <v>31</v>
      </c>
      <c r="C92" t="s">
        <v>11</v>
      </c>
      <c r="D92" t="s">
        <v>23</v>
      </c>
      <c r="E92" t="s">
        <v>29</v>
      </c>
      <c r="F92">
        <v>30</v>
      </c>
      <c r="G92">
        <v>147742.63</v>
      </c>
      <c r="H92">
        <v>28</v>
      </c>
      <c r="I92">
        <v>62</v>
      </c>
      <c r="J92" t="str">
        <f>IF(Table1[[#This Row],[Treatment Cost]]&gt;75000, "High Cost", "Low Cost")</f>
        <v>High Cost</v>
      </c>
      <c r="K92" t="str">
        <f t="shared" si="2"/>
        <v>Middle-aged</v>
      </c>
    </row>
    <row r="93" spans="1:11" x14ac:dyDescent="0.3">
      <c r="A93" t="s">
        <v>118</v>
      </c>
      <c r="B93" t="s">
        <v>15</v>
      </c>
      <c r="C93" t="s">
        <v>11</v>
      </c>
      <c r="D93" t="s">
        <v>17</v>
      </c>
      <c r="E93" t="s">
        <v>29</v>
      </c>
      <c r="F93">
        <v>66</v>
      </c>
      <c r="G93">
        <v>54562.1</v>
      </c>
      <c r="H93">
        <v>21</v>
      </c>
      <c r="I93">
        <v>86</v>
      </c>
      <c r="J93" t="str">
        <f>IF(Table1[[#This Row],[Treatment Cost]]&gt;75000, "High Cost", "Low Cost")</f>
        <v>Low Cost</v>
      </c>
      <c r="K93" t="str">
        <f t="shared" si="2"/>
        <v>Adult</v>
      </c>
    </row>
    <row r="94" spans="1:11" x14ac:dyDescent="0.3">
      <c r="A94" t="s">
        <v>119</v>
      </c>
      <c r="B94" t="s">
        <v>36</v>
      </c>
      <c r="C94" t="s">
        <v>28</v>
      </c>
      <c r="D94" t="s">
        <v>23</v>
      </c>
      <c r="E94" t="s">
        <v>29</v>
      </c>
      <c r="F94">
        <v>1</v>
      </c>
      <c r="G94">
        <v>146289.26999999999</v>
      </c>
      <c r="H94">
        <v>17</v>
      </c>
      <c r="I94">
        <v>47</v>
      </c>
      <c r="J94" t="str">
        <f>IF(Table1[[#This Row],[Treatment Cost]]&gt;75000, "High Cost", "Low Cost")</f>
        <v>High Cost</v>
      </c>
      <c r="K94" t="str">
        <f t="shared" si="2"/>
        <v>Senior</v>
      </c>
    </row>
    <row r="95" spans="1:11" x14ac:dyDescent="0.3">
      <c r="A95" t="s">
        <v>120</v>
      </c>
      <c r="B95" t="s">
        <v>31</v>
      </c>
      <c r="C95" t="s">
        <v>41</v>
      </c>
      <c r="D95" t="s">
        <v>32</v>
      </c>
      <c r="E95" t="s">
        <v>29</v>
      </c>
      <c r="F95">
        <v>89</v>
      </c>
      <c r="G95">
        <v>128840.81</v>
      </c>
      <c r="H95">
        <v>22</v>
      </c>
      <c r="I95">
        <v>81</v>
      </c>
      <c r="J95" t="str">
        <f>IF(Table1[[#This Row],[Treatment Cost]]&gt;75000, "High Cost", "Low Cost")</f>
        <v>High Cost</v>
      </c>
      <c r="K95" t="str">
        <f t="shared" si="2"/>
        <v>Child</v>
      </c>
    </row>
    <row r="96" spans="1:11" x14ac:dyDescent="0.3">
      <c r="A96" t="s">
        <v>121</v>
      </c>
      <c r="B96" t="s">
        <v>22</v>
      </c>
      <c r="C96" t="s">
        <v>16</v>
      </c>
      <c r="D96" t="s">
        <v>17</v>
      </c>
      <c r="E96" t="s">
        <v>29</v>
      </c>
      <c r="F96">
        <v>48</v>
      </c>
      <c r="G96">
        <v>19629.22</v>
      </c>
      <c r="H96">
        <v>2</v>
      </c>
      <c r="I96">
        <v>95</v>
      </c>
      <c r="J96" t="str">
        <f>IF(Table1[[#This Row],[Treatment Cost]]&gt;75000, "High Cost", "Low Cost")</f>
        <v>Low Cost</v>
      </c>
      <c r="K96" t="str">
        <f t="shared" si="2"/>
        <v>Elderly</v>
      </c>
    </row>
    <row r="97" spans="1:11" x14ac:dyDescent="0.3">
      <c r="A97" t="s">
        <v>122</v>
      </c>
      <c r="B97" t="s">
        <v>31</v>
      </c>
      <c r="C97" t="s">
        <v>28</v>
      </c>
      <c r="D97" t="s">
        <v>32</v>
      </c>
      <c r="E97" t="s">
        <v>13</v>
      </c>
      <c r="F97">
        <v>59</v>
      </c>
      <c r="G97">
        <v>73629.03</v>
      </c>
      <c r="H97">
        <v>10</v>
      </c>
      <c r="I97">
        <v>85</v>
      </c>
      <c r="J97" t="str">
        <f>IF(Table1[[#This Row],[Treatment Cost]]&gt;75000, "High Cost", "Low Cost")</f>
        <v>Low Cost</v>
      </c>
      <c r="K97" t="str">
        <f t="shared" si="2"/>
        <v>Middle-aged</v>
      </c>
    </row>
    <row r="98" spans="1:11" x14ac:dyDescent="0.3">
      <c r="A98" t="s">
        <v>123</v>
      </c>
      <c r="B98" t="s">
        <v>25</v>
      </c>
      <c r="C98" t="s">
        <v>16</v>
      </c>
      <c r="D98" t="s">
        <v>32</v>
      </c>
      <c r="E98" t="s">
        <v>29</v>
      </c>
      <c r="F98">
        <v>54</v>
      </c>
      <c r="G98">
        <v>100747.7</v>
      </c>
      <c r="H98">
        <v>12</v>
      </c>
      <c r="I98">
        <v>74</v>
      </c>
      <c r="J98" t="str">
        <f>IF(Table1[[#This Row],[Treatment Cost]]&gt;75000, "High Cost", "Low Cost")</f>
        <v>High Cost</v>
      </c>
      <c r="K98" t="str">
        <f t="shared" ref="K98:K129" si="3">IF(A97&lt;=5,"Infant / Toddler",
IF(F97&lt;=12,"Child",
IF(F97&lt;=19,"Teenager",
IF(F97&lt;=29,"Young Adult",
IF(F97&lt;=44,"Adult",
IF(F97&lt;=59,"Middle-aged",
IF(F97&lt;=74,"Senior","Elderly")))))))</f>
        <v>Middle-aged</v>
      </c>
    </row>
    <row r="99" spans="1:11" x14ac:dyDescent="0.3">
      <c r="A99" t="s">
        <v>124</v>
      </c>
      <c r="B99" t="s">
        <v>15</v>
      </c>
      <c r="C99" t="s">
        <v>11</v>
      </c>
      <c r="D99" t="s">
        <v>12</v>
      </c>
      <c r="E99" t="s">
        <v>29</v>
      </c>
      <c r="F99">
        <v>35</v>
      </c>
      <c r="G99">
        <v>85523.17</v>
      </c>
      <c r="H99">
        <v>30</v>
      </c>
      <c r="I99">
        <v>90</v>
      </c>
      <c r="J99" t="str">
        <f>IF(Table1[[#This Row],[Treatment Cost]]&gt;75000, "High Cost", "Low Cost")</f>
        <v>High Cost</v>
      </c>
      <c r="K99" t="str">
        <f t="shared" si="3"/>
        <v>Middle-aged</v>
      </c>
    </row>
    <row r="100" spans="1:11" x14ac:dyDescent="0.3">
      <c r="A100" t="s">
        <v>125</v>
      </c>
      <c r="B100" t="s">
        <v>31</v>
      </c>
      <c r="C100" t="s">
        <v>16</v>
      </c>
      <c r="D100" t="s">
        <v>23</v>
      </c>
      <c r="E100" t="s">
        <v>29</v>
      </c>
      <c r="F100">
        <v>33</v>
      </c>
      <c r="G100">
        <v>79151.14</v>
      </c>
      <c r="H100">
        <v>2</v>
      </c>
      <c r="I100">
        <v>56</v>
      </c>
      <c r="J100" t="str">
        <f>IF(Table1[[#This Row],[Treatment Cost]]&gt;75000, "High Cost", "Low Cost")</f>
        <v>High Cost</v>
      </c>
      <c r="K100" t="str">
        <f t="shared" si="3"/>
        <v>Adult</v>
      </c>
    </row>
    <row r="101" spans="1:11" x14ac:dyDescent="0.3">
      <c r="A101" t="s">
        <v>126</v>
      </c>
      <c r="B101" t="s">
        <v>36</v>
      </c>
      <c r="C101" t="s">
        <v>11</v>
      </c>
      <c r="D101" t="s">
        <v>23</v>
      </c>
      <c r="E101" t="s">
        <v>13</v>
      </c>
      <c r="F101">
        <v>30</v>
      </c>
      <c r="G101">
        <v>115395.67</v>
      </c>
      <c r="H101">
        <v>11</v>
      </c>
      <c r="I101">
        <v>74</v>
      </c>
      <c r="J101" t="str">
        <f>IF(Table1[[#This Row],[Treatment Cost]]&gt;75000, "High Cost", "Low Cost")</f>
        <v>High Cost</v>
      </c>
      <c r="K101" t="str">
        <f t="shared" si="3"/>
        <v>Adult</v>
      </c>
    </row>
    <row r="102" spans="1:11" x14ac:dyDescent="0.3">
      <c r="A102" t="s">
        <v>127</v>
      </c>
      <c r="B102" t="s">
        <v>22</v>
      </c>
      <c r="C102" t="s">
        <v>28</v>
      </c>
      <c r="D102" t="s">
        <v>12</v>
      </c>
      <c r="E102" t="s">
        <v>13</v>
      </c>
      <c r="F102">
        <v>60</v>
      </c>
      <c r="G102">
        <v>49131.44</v>
      </c>
      <c r="H102">
        <v>2</v>
      </c>
      <c r="I102">
        <v>44</v>
      </c>
      <c r="J102" t="str">
        <f>IF(Table1[[#This Row],[Treatment Cost]]&gt;75000, "High Cost", "Low Cost")</f>
        <v>Low Cost</v>
      </c>
      <c r="K102" t="str">
        <f t="shared" si="3"/>
        <v>Adult</v>
      </c>
    </row>
    <row r="103" spans="1:11" x14ac:dyDescent="0.3">
      <c r="A103" t="s">
        <v>128</v>
      </c>
      <c r="B103" t="s">
        <v>31</v>
      </c>
      <c r="C103" t="s">
        <v>11</v>
      </c>
      <c r="D103" t="s">
        <v>23</v>
      </c>
      <c r="E103" t="s">
        <v>29</v>
      </c>
      <c r="F103">
        <v>70</v>
      </c>
      <c r="G103">
        <v>58132.5</v>
      </c>
      <c r="H103">
        <v>25</v>
      </c>
      <c r="I103">
        <v>43</v>
      </c>
      <c r="J103" t="str">
        <f>IF(Table1[[#This Row],[Treatment Cost]]&gt;75000, "High Cost", "Low Cost")</f>
        <v>Low Cost</v>
      </c>
      <c r="K103" t="str">
        <f t="shared" si="3"/>
        <v>Senior</v>
      </c>
    </row>
    <row r="104" spans="1:11" x14ac:dyDescent="0.3">
      <c r="A104" t="s">
        <v>129</v>
      </c>
      <c r="B104" t="s">
        <v>36</v>
      </c>
      <c r="C104" t="s">
        <v>41</v>
      </c>
      <c r="D104" t="s">
        <v>12</v>
      </c>
      <c r="E104" t="s">
        <v>13</v>
      </c>
      <c r="F104">
        <v>6</v>
      </c>
      <c r="G104">
        <v>77311.77</v>
      </c>
      <c r="H104">
        <v>19</v>
      </c>
      <c r="I104">
        <v>90</v>
      </c>
      <c r="J104" t="str">
        <f>IF(Table1[[#This Row],[Treatment Cost]]&gt;75000, "High Cost", "Low Cost")</f>
        <v>High Cost</v>
      </c>
      <c r="K104" t="str">
        <f t="shared" si="3"/>
        <v>Senior</v>
      </c>
    </row>
    <row r="105" spans="1:11" x14ac:dyDescent="0.3">
      <c r="A105" t="s">
        <v>130</v>
      </c>
      <c r="B105" t="s">
        <v>25</v>
      </c>
      <c r="C105" t="s">
        <v>28</v>
      </c>
      <c r="D105" t="s">
        <v>32</v>
      </c>
      <c r="E105" t="s">
        <v>29</v>
      </c>
      <c r="F105">
        <v>70</v>
      </c>
      <c r="G105">
        <v>14270.62</v>
      </c>
      <c r="H105">
        <v>24</v>
      </c>
      <c r="I105">
        <v>43</v>
      </c>
      <c r="J105" t="str">
        <f>IF(Table1[[#This Row],[Treatment Cost]]&gt;75000, "High Cost", "Low Cost")</f>
        <v>Low Cost</v>
      </c>
      <c r="K105" t="str">
        <f t="shared" si="3"/>
        <v>Child</v>
      </c>
    </row>
    <row r="106" spans="1:11" x14ac:dyDescent="0.3">
      <c r="A106" t="s">
        <v>131</v>
      </c>
      <c r="B106" t="s">
        <v>15</v>
      </c>
      <c r="C106" t="s">
        <v>28</v>
      </c>
      <c r="D106" t="s">
        <v>26</v>
      </c>
      <c r="E106" t="s">
        <v>13</v>
      </c>
      <c r="F106">
        <v>52</v>
      </c>
      <c r="G106">
        <v>97685.72</v>
      </c>
      <c r="H106">
        <v>28</v>
      </c>
      <c r="I106">
        <v>59</v>
      </c>
      <c r="J106" t="str">
        <f>IF(Table1[[#This Row],[Treatment Cost]]&gt;75000, "High Cost", "Low Cost")</f>
        <v>High Cost</v>
      </c>
      <c r="K106" t="str">
        <f t="shared" si="3"/>
        <v>Senior</v>
      </c>
    </row>
    <row r="107" spans="1:11" x14ac:dyDescent="0.3">
      <c r="A107" t="s">
        <v>132</v>
      </c>
      <c r="B107" t="s">
        <v>10</v>
      </c>
      <c r="C107" t="s">
        <v>16</v>
      </c>
      <c r="D107" t="s">
        <v>23</v>
      </c>
      <c r="E107" t="s">
        <v>18</v>
      </c>
      <c r="F107">
        <v>64</v>
      </c>
      <c r="G107">
        <v>142687.47</v>
      </c>
      <c r="H107">
        <v>27</v>
      </c>
      <c r="I107">
        <v>80</v>
      </c>
      <c r="J107" t="str">
        <f>IF(Table1[[#This Row],[Treatment Cost]]&gt;75000, "High Cost", "Low Cost")</f>
        <v>High Cost</v>
      </c>
      <c r="K107" t="str">
        <f t="shared" si="3"/>
        <v>Middle-aged</v>
      </c>
    </row>
    <row r="108" spans="1:11" x14ac:dyDescent="0.3">
      <c r="A108" t="s">
        <v>133</v>
      </c>
      <c r="B108" t="s">
        <v>31</v>
      </c>
      <c r="C108" t="s">
        <v>28</v>
      </c>
      <c r="D108" t="s">
        <v>17</v>
      </c>
      <c r="E108" t="s">
        <v>29</v>
      </c>
      <c r="F108">
        <v>35</v>
      </c>
      <c r="G108">
        <v>36754.51</v>
      </c>
      <c r="H108">
        <v>27</v>
      </c>
      <c r="I108">
        <v>49</v>
      </c>
      <c r="J108" t="str">
        <f>IF(Table1[[#This Row],[Treatment Cost]]&gt;75000, "High Cost", "Low Cost")</f>
        <v>Low Cost</v>
      </c>
      <c r="K108" t="str">
        <f t="shared" si="3"/>
        <v>Senior</v>
      </c>
    </row>
    <row r="109" spans="1:11" x14ac:dyDescent="0.3">
      <c r="A109" t="s">
        <v>134</v>
      </c>
      <c r="B109" t="s">
        <v>15</v>
      </c>
      <c r="C109" t="s">
        <v>16</v>
      </c>
      <c r="D109" t="s">
        <v>17</v>
      </c>
      <c r="E109" t="s">
        <v>29</v>
      </c>
      <c r="F109">
        <v>62</v>
      </c>
      <c r="G109">
        <v>34938.57</v>
      </c>
      <c r="H109">
        <v>8</v>
      </c>
      <c r="I109">
        <v>70</v>
      </c>
      <c r="J109" t="str">
        <f>IF(Table1[[#This Row],[Treatment Cost]]&gt;75000, "High Cost", "Low Cost")</f>
        <v>Low Cost</v>
      </c>
      <c r="K109" t="str">
        <f t="shared" si="3"/>
        <v>Adult</v>
      </c>
    </row>
    <row r="110" spans="1:11" x14ac:dyDescent="0.3">
      <c r="A110" t="s">
        <v>135</v>
      </c>
      <c r="B110" t="s">
        <v>22</v>
      </c>
      <c r="C110" t="s">
        <v>28</v>
      </c>
      <c r="D110" t="s">
        <v>12</v>
      </c>
      <c r="E110" t="s">
        <v>13</v>
      </c>
      <c r="F110">
        <v>22</v>
      </c>
      <c r="G110">
        <v>97228.49</v>
      </c>
      <c r="H110">
        <v>7</v>
      </c>
      <c r="I110">
        <v>60</v>
      </c>
      <c r="J110" t="str">
        <f>IF(Table1[[#This Row],[Treatment Cost]]&gt;75000, "High Cost", "Low Cost")</f>
        <v>High Cost</v>
      </c>
      <c r="K110" t="str">
        <f t="shared" si="3"/>
        <v>Senior</v>
      </c>
    </row>
    <row r="111" spans="1:11" x14ac:dyDescent="0.3">
      <c r="A111" t="s">
        <v>136</v>
      </c>
      <c r="B111" t="s">
        <v>25</v>
      </c>
      <c r="C111" t="s">
        <v>28</v>
      </c>
      <c r="D111" t="s">
        <v>17</v>
      </c>
      <c r="E111" t="s">
        <v>13</v>
      </c>
      <c r="F111">
        <v>42</v>
      </c>
      <c r="G111">
        <v>91441.1</v>
      </c>
      <c r="H111">
        <v>22</v>
      </c>
      <c r="I111">
        <v>84</v>
      </c>
      <c r="J111" t="str">
        <f>IF(Table1[[#This Row],[Treatment Cost]]&gt;75000, "High Cost", "Low Cost")</f>
        <v>High Cost</v>
      </c>
      <c r="K111" t="str">
        <f t="shared" si="3"/>
        <v>Young Adult</v>
      </c>
    </row>
    <row r="112" spans="1:11" x14ac:dyDescent="0.3">
      <c r="A112" t="s">
        <v>137</v>
      </c>
      <c r="B112" t="s">
        <v>10</v>
      </c>
      <c r="C112" t="s">
        <v>41</v>
      </c>
      <c r="D112" t="s">
        <v>32</v>
      </c>
      <c r="E112" t="s">
        <v>13</v>
      </c>
      <c r="F112">
        <v>24</v>
      </c>
      <c r="G112">
        <v>139624.06</v>
      </c>
      <c r="H112">
        <v>5</v>
      </c>
      <c r="I112">
        <v>55</v>
      </c>
      <c r="J112" t="str">
        <f>IF(Table1[[#This Row],[Treatment Cost]]&gt;75000, "High Cost", "Low Cost")</f>
        <v>High Cost</v>
      </c>
      <c r="K112" t="str">
        <f t="shared" si="3"/>
        <v>Adult</v>
      </c>
    </row>
    <row r="113" spans="1:11" x14ac:dyDescent="0.3">
      <c r="A113" t="s">
        <v>138</v>
      </c>
      <c r="B113" t="s">
        <v>25</v>
      </c>
      <c r="C113" t="s">
        <v>16</v>
      </c>
      <c r="D113" t="s">
        <v>12</v>
      </c>
      <c r="E113" t="s">
        <v>29</v>
      </c>
      <c r="F113">
        <v>17</v>
      </c>
      <c r="G113">
        <v>86650.5</v>
      </c>
      <c r="H113">
        <v>3</v>
      </c>
      <c r="I113">
        <v>53</v>
      </c>
      <c r="J113" t="str">
        <f>IF(Table1[[#This Row],[Treatment Cost]]&gt;75000, "High Cost", "Low Cost")</f>
        <v>High Cost</v>
      </c>
      <c r="K113" t="str">
        <f t="shared" si="3"/>
        <v>Young Adult</v>
      </c>
    </row>
    <row r="114" spans="1:11" x14ac:dyDescent="0.3">
      <c r="A114" t="s">
        <v>139</v>
      </c>
      <c r="B114" t="s">
        <v>31</v>
      </c>
      <c r="C114" t="s">
        <v>11</v>
      </c>
      <c r="D114" t="s">
        <v>17</v>
      </c>
      <c r="E114" t="s">
        <v>18</v>
      </c>
      <c r="F114">
        <v>75</v>
      </c>
      <c r="G114">
        <v>85517.09</v>
      </c>
      <c r="H114">
        <v>6</v>
      </c>
      <c r="I114">
        <v>79</v>
      </c>
      <c r="J114" t="str">
        <f>IF(Table1[[#This Row],[Treatment Cost]]&gt;75000, "High Cost", "Low Cost")</f>
        <v>High Cost</v>
      </c>
      <c r="K114" t="str">
        <f t="shared" si="3"/>
        <v>Teenager</v>
      </c>
    </row>
    <row r="115" spans="1:11" x14ac:dyDescent="0.3">
      <c r="A115" t="s">
        <v>140</v>
      </c>
      <c r="B115" t="s">
        <v>10</v>
      </c>
      <c r="C115" t="s">
        <v>11</v>
      </c>
      <c r="D115" t="s">
        <v>17</v>
      </c>
      <c r="E115" t="s">
        <v>13</v>
      </c>
      <c r="F115">
        <v>47</v>
      </c>
      <c r="G115">
        <v>134120.62</v>
      </c>
      <c r="H115">
        <v>11</v>
      </c>
      <c r="I115">
        <v>92</v>
      </c>
      <c r="J115" t="str">
        <f>IF(Table1[[#This Row],[Treatment Cost]]&gt;75000, "High Cost", "Low Cost")</f>
        <v>High Cost</v>
      </c>
      <c r="K115" t="str">
        <f t="shared" si="3"/>
        <v>Elderly</v>
      </c>
    </row>
    <row r="116" spans="1:11" x14ac:dyDescent="0.3">
      <c r="A116" t="s">
        <v>141</v>
      </c>
      <c r="B116" t="s">
        <v>22</v>
      </c>
      <c r="C116" t="s">
        <v>41</v>
      </c>
      <c r="D116" t="s">
        <v>23</v>
      </c>
      <c r="E116" t="s">
        <v>29</v>
      </c>
      <c r="F116">
        <v>81</v>
      </c>
      <c r="G116">
        <v>22593.06</v>
      </c>
      <c r="H116">
        <v>6</v>
      </c>
      <c r="I116">
        <v>67</v>
      </c>
      <c r="J116" t="str">
        <f>IF(Table1[[#This Row],[Treatment Cost]]&gt;75000, "High Cost", "Low Cost")</f>
        <v>Low Cost</v>
      </c>
      <c r="K116" t="str">
        <f t="shared" si="3"/>
        <v>Middle-aged</v>
      </c>
    </row>
    <row r="117" spans="1:11" x14ac:dyDescent="0.3">
      <c r="A117" t="s">
        <v>142</v>
      </c>
      <c r="B117" t="s">
        <v>10</v>
      </c>
      <c r="C117" t="s">
        <v>28</v>
      </c>
      <c r="D117" t="s">
        <v>23</v>
      </c>
      <c r="E117" t="s">
        <v>18</v>
      </c>
      <c r="F117">
        <v>20</v>
      </c>
      <c r="G117">
        <v>88741.64</v>
      </c>
      <c r="H117">
        <v>26</v>
      </c>
      <c r="I117">
        <v>99</v>
      </c>
      <c r="J117" t="str">
        <f>IF(Table1[[#This Row],[Treatment Cost]]&gt;75000, "High Cost", "Low Cost")</f>
        <v>High Cost</v>
      </c>
      <c r="K117" t="str">
        <f t="shared" si="3"/>
        <v>Elderly</v>
      </c>
    </row>
    <row r="118" spans="1:11" x14ac:dyDescent="0.3">
      <c r="A118" t="s">
        <v>143</v>
      </c>
      <c r="B118" t="s">
        <v>10</v>
      </c>
      <c r="C118" t="s">
        <v>16</v>
      </c>
      <c r="D118" t="s">
        <v>17</v>
      </c>
      <c r="E118" t="s">
        <v>18</v>
      </c>
      <c r="F118">
        <v>14</v>
      </c>
      <c r="G118">
        <v>10917.19</v>
      </c>
      <c r="H118">
        <v>22</v>
      </c>
      <c r="I118">
        <v>43</v>
      </c>
      <c r="J118" t="str">
        <f>IF(Table1[[#This Row],[Treatment Cost]]&gt;75000, "High Cost", "Low Cost")</f>
        <v>Low Cost</v>
      </c>
      <c r="K118" t="str">
        <f t="shared" si="3"/>
        <v>Young Adult</v>
      </c>
    </row>
    <row r="119" spans="1:11" x14ac:dyDescent="0.3">
      <c r="A119" t="s">
        <v>144</v>
      </c>
      <c r="B119" t="s">
        <v>10</v>
      </c>
      <c r="C119" t="s">
        <v>41</v>
      </c>
      <c r="D119" t="s">
        <v>32</v>
      </c>
      <c r="E119" t="s">
        <v>13</v>
      </c>
      <c r="F119">
        <v>30</v>
      </c>
      <c r="G119">
        <v>97613.71</v>
      </c>
      <c r="H119">
        <v>24</v>
      </c>
      <c r="I119">
        <v>72</v>
      </c>
      <c r="J119" t="str">
        <f>IF(Table1[[#This Row],[Treatment Cost]]&gt;75000, "High Cost", "Low Cost")</f>
        <v>High Cost</v>
      </c>
      <c r="K119" t="str">
        <f t="shared" si="3"/>
        <v>Teenager</v>
      </c>
    </row>
    <row r="120" spans="1:11" x14ac:dyDescent="0.3">
      <c r="A120" t="s">
        <v>145</v>
      </c>
      <c r="B120" t="s">
        <v>36</v>
      </c>
      <c r="C120" t="s">
        <v>41</v>
      </c>
      <c r="D120" t="s">
        <v>23</v>
      </c>
      <c r="E120" t="s">
        <v>13</v>
      </c>
      <c r="F120">
        <v>81</v>
      </c>
      <c r="G120">
        <v>135711.26999999999</v>
      </c>
      <c r="H120">
        <v>14</v>
      </c>
      <c r="I120">
        <v>99</v>
      </c>
      <c r="J120" t="str">
        <f>IF(Table1[[#This Row],[Treatment Cost]]&gt;75000, "High Cost", "Low Cost")</f>
        <v>High Cost</v>
      </c>
      <c r="K120" t="str">
        <f t="shared" si="3"/>
        <v>Adult</v>
      </c>
    </row>
    <row r="121" spans="1:11" x14ac:dyDescent="0.3">
      <c r="A121" t="s">
        <v>146</v>
      </c>
      <c r="B121" t="s">
        <v>15</v>
      </c>
      <c r="C121" t="s">
        <v>16</v>
      </c>
      <c r="D121" t="s">
        <v>23</v>
      </c>
      <c r="E121" t="s">
        <v>13</v>
      </c>
      <c r="F121">
        <v>48</v>
      </c>
      <c r="G121">
        <v>117464.18</v>
      </c>
      <c r="H121">
        <v>2</v>
      </c>
      <c r="I121">
        <v>61</v>
      </c>
      <c r="J121" t="str">
        <f>IF(Table1[[#This Row],[Treatment Cost]]&gt;75000, "High Cost", "Low Cost")</f>
        <v>High Cost</v>
      </c>
      <c r="K121" t="str">
        <f t="shared" si="3"/>
        <v>Elderly</v>
      </c>
    </row>
    <row r="122" spans="1:11" x14ac:dyDescent="0.3">
      <c r="A122" t="s">
        <v>147</v>
      </c>
      <c r="B122" t="s">
        <v>22</v>
      </c>
      <c r="C122" t="s">
        <v>16</v>
      </c>
      <c r="D122" t="s">
        <v>23</v>
      </c>
      <c r="E122" t="s">
        <v>29</v>
      </c>
      <c r="F122">
        <v>45</v>
      </c>
      <c r="G122">
        <v>89474.55</v>
      </c>
      <c r="H122">
        <v>21</v>
      </c>
      <c r="I122">
        <v>64</v>
      </c>
      <c r="J122" t="str">
        <f>IF(Table1[[#This Row],[Treatment Cost]]&gt;75000, "High Cost", "Low Cost")</f>
        <v>High Cost</v>
      </c>
      <c r="K122" t="str">
        <f t="shared" si="3"/>
        <v>Middle-aged</v>
      </c>
    </row>
    <row r="123" spans="1:11" x14ac:dyDescent="0.3">
      <c r="A123" t="s">
        <v>148</v>
      </c>
      <c r="B123" t="s">
        <v>10</v>
      </c>
      <c r="C123" t="s">
        <v>41</v>
      </c>
      <c r="D123" t="s">
        <v>32</v>
      </c>
      <c r="E123" t="s">
        <v>29</v>
      </c>
      <c r="F123">
        <v>1</v>
      </c>
      <c r="G123">
        <v>105954.09</v>
      </c>
      <c r="H123">
        <v>12</v>
      </c>
      <c r="I123">
        <v>95</v>
      </c>
      <c r="J123" t="str">
        <f>IF(Table1[[#This Row],[Treatment Cost]]&gt;75000, "High Cost", "Low Cost")</f>
        <v>High Cost</v>
      </c>
      <c r="K123" t="str">
        <f t="shared" si="3"/>
        <v>Middle-aged</v>
      </c>
    </row>
    <row r="124" spans="1:11" x14ac:dyDescent="0.3">
      <c r="A124" t="s">
        <v>149</v>
      </c>
      <c r="B124" t="s">
        <v>15</v>
      </c>
      <c r="C124" t="s">
        <v>28</v>
      </c>
      <c r="D124" t="s">
        <v>26</v>
      </c>
      <c r="E124" t="s">
        <v>13</v>
      </c>
      <c r="F124">
        <v>30</v>
      </c>
      <c r="G124">
        <v>91267.91</v>
      </c>
      <c r="H124">
        <v>17</v>
      </c>
      <c r="I124">
        <v>76</v>
      </c>
      <c r="J124" t="str">
        <f>IF(Table1[[#This Row],[Treatment Cost]]&gt;75000, "High Cost", "Low Cost")</f>
        <v>High Cost</v>
      </c>
      <c r="K124" t="str">
        <f t="shared" si="3"/>
        <v>Child</v>
      </c>
    </row>
    <row r="125" spans="1:11" x14ac:dyDescent="0.3">
      <c r="A125" t="s">
        <v>150</v>
      </c>
      <c r="B125" t="s">
        <v>36</v>
      </c>
      <c r="C125" t="s">
        <v>11</v>
      </c>
      <c r="D125" t="s">
        <v>26</v>
      </c>
      <c r="E125" t="s">
        <v>13</v>
      </c>
      <c r="F125">
        <v>3</v>
      </c>
      <c r="G125">
        <v>46506.94</v>
      </c>
      <c r="H125">
        <v>9</v>
      </c>
      <c r="I125">
        <v>72</v>
      </c>
      <c r="J125" t="str">
        <f>IF(Table1[[#This Row],[Treatment Cost]]&gt;75000, "High Cost", "Low Cost")</f>
        <v>Low Cost</v>
      </c>
      <c r="K125" t="str">
        <f t="shared" si="3"/>
        <v>Adult</v>
      </c>
    </row>
    <row r="126" spans="1:11" x14ac:dyDescent="0.3">
      <c r="A126" t="s">
        <v>151</v>
      </c>
      <c r="B126" t="s">
        <v>31</v>
      </c>
      <c r="C126" t="s">
        <v>41</v>
      </c>
      <c r="D126" t="s">
        <v>17</v>
      </c>
      <c r="E126" t="s">
        <v>13</v>
      </c>
      <c r="F126">
        <v>78</v>
      </c>
      <c r="G126">
        <v>40568.300000000003</v>
      </c>
      <c r="H126">
        <v>18</v>
      </c>
      <c r="I126">
        <v>91</v>
      </c>
      <c r="J126" t="str">
        <f>IF(Table1[[#This Row],[Treatment Cost]]&gt;75000, "High Cost", "Low Cost")</f>
        <v>Low Cost</v>
      </c>
      <c r="K126" t="str">
        <f t="shared" si="3"/>
        <v>Child</v>
      </c>
    </row>
    <row r="127" spans="1:11" x14ac:dyDescent="0.3">
      <c r="A127" t="s">
        <v>152</v>
      </c>
      <c r="B127" t="s">
        <v>22</v>
      </c>
      <c r="C127" t="s">
        <v>11</v>
      </c>
      <c r="D127" t="s">
        <v>32</v>
      </c>
      <c r="E127" t="s">
        <v>18</v>
      </c>
      <c r="F127">
        <v>35</v>
      </c>
      <c r="G127">
        <v>132265.98000000001</v>
      </c>
      <c r="H127">
        <v>7</v>
      </c>
      <c r="I127">
        <v>45</v>
      </c>
      <c r="J127" t="str">
        <f>IF(Table1[[#This Row],[Treatment Cost]]&gt;75000, "High Cost", "Low Cost")</f>
        <v>High Cost</v>
      </c>
      <c r="K127" t="str">
        <f t="shared" si="3"/>
        <v>Elderly</v>
      </c>
    </row>
    <row r="128" spans="1:11" x14ac:dyDescent="0.3">
      <c r="A128" t="s">
        <v>153</v>
      </c>
      <c r="B128" t="s">
        <v>15</v>
      </c>
      <c r="C128" t="s">
        <v>41</v>
      </c>
      <c r="D128" t="s">
        <v>23</v>
      </c>
      <c r="E128" t="s">
        <v>18</v>
      </c>
      <c r="F128">
        <v>88</v>
      </c>
      <c r="G128">
        <v>50993.47</v>
      </c>
      <c r="H128">
        <v>4</v>
      </c>
      <c r="I128">
        <v>82</v>
      </c>
      <c r="J128" t="str">
        <f>IF(Table1[[#This Row],[Treatment Cost]]&gt;75000, "High Cost", "Low Cost")</f>
        <v>Low Cost</v>
      </c>
      <c r="K128" t="str">
        <f t="shared" si="3"/>
        <v>Adult</v>
      </c>
    </row>
    <row r="129" spans="1:11" x14ac:dyDescent="0.3">
      <c r="A129" t="s">
        <v>154</v>
      </c>
      <c r="B129" t="s">
        <v>22</v>
      </c>
      <c r="C129" t="s">
        <v>41</v>
      </c>
      <c r="D129" t="s">
        <v>17</v>
      </c>
      <c r="E129" t="s">
        <v>18</v>
      </c>
      <c r="F129">
        <v>7</v>
      </c>
      <c r="G129">
        <v>135590.48000000001</v>
      </c>
      <c r="H129">
        <v>6</v>
      </c>
      <c r="I129">
        <v>46</v>
      </c>
      <c r="J129" t="str">
        <f>IF(Table1[[#This Row],[Treatment Cost]]&gt;75000, "High Cost", "Low Cost")</f>
        <v>High Cost</v>
      </c>
      <c r="K129" t="str">
        <f t="shared" si="3"/>
        <v>Elderly</v>
      </c>
    </row>
    <row r="130" spans="1:11" x14ac:dyDescent="0.3">
      <c r="A130" t="s">
        <v>155</v>
      </c>
      <c r="B130" t="s">
        <v>15</v>
      </c>
      <c r="C130" t="s">
        <v>41</v>
      </c>
      <c r="D130" t="s">
        <v>32</v>
      </c>
      <c r="E130" t="s">
        <v>13</v>
      </c>
      <c r="F130">
        <v>73</v>
      </c>
      <c r="G130">
        <v>148956.56</v>
      </c>
      <c r="H130">
        <v>6</v>
      </c>
      <c r="I130">
        <v>100</v>
      </c>
      <c r="J130" t="str">
        <f>IF(Table1[[#This Row],[Treatment Cost]]&gt;75000, "High Cost", "Low Cost")</f>
        <v>High Cost</v>
      </c>
      <c r="K130" t="str">
        <f t="shared" ref="K130:K161" si="4">IF(A129&lt;=5,"Infant / Toddler",
IF(F129&lt;=12,"Child",
IF(F129&lt;=19,"Teenager",
IF(F129&lt;=29,"Young Adult",
IF(F129&lt;=44,"Adult",
IF(F129&lt;=59,"Middle-aged",
IF(F129&lt;=74,"Senior","Elderly")))))))</f>
        <v>Child</v>
      </c>
    </row>
    <row r="131" spans="1:11" x14ac:dyDescent="0.3">
      <c r="A131" t="s">
        <v>156</v>
      </c>
      <c r="B131" t="s">
        <v>25</v>
      </c>
      <c r="C131" t="s">
        <v>16</v>
      </c>
      <c r="D131" t="s">
        <v>12</v>
      </c>
      <c r="E131" t="s">
        <v>18</v>
      </c>
      <c r="F131">
        <v>83</v>
      </c>
      <c r="G131">
        <v>71584.960000000006</v>
      </c>
      <c r="H131">
        <v>26</v>
      </c>
      <c r="I131">
        <v>55</v>
      </c>
      <c r="J131" t="str">
        <f>IF(Table1[[#This Row],[Treatment Cost]]&gt;75000, "High Cost", "Low Cost")</f>
        <v>Low Cost</v>
      </c>
      <c r="K131" t="str">
        <f t="shared" si="4"/>
        <v>Senior</v>
      </c>
    </row>
    <row r="132" spans="1:11" x14ac:dyDescent="0.3">
      <c r="A132" t="s">
        <v>157</v>
      </c>
      <c r="B132" t="s">
        <v>22</v>
      </c>
      <c r="C132" t="s">
        <v>28</v>
      </c>
      <c r="D132" t="s">
        <v>17</v>
      </c>
      <c r="E132" t="s">
        <v>29</v>
      </c>
      <c r="F132">
        <v>37</v>
      </c>
      <c r="G132">
        <v>78613.16</v>
      </c>
      <c r="H132">
        <v>20</v>
      </c>
      <c r="I132">
        <v>85</v>
      </c>
      <c r="J132" t="str">
        <f>IF(Table1[[#This Row],[Treatment Cost]]&gt;75000, "High Cost", "Low Cost")</f>
        <v>High Cost</v>
      </c>
      <c r="K132" t="str">
        <f t="shared" si="4"/>
        <v>Elderly</v>
      </c>
    </row>
    <row r="133" spans="1:11" x14ac:dyDescent="0.3">
      <c r="A133" t="s">
        <v>158</v>
      </c>
      <c r="B133" t="s">
        <v>22</v>
      </c>
      <c r="C133" t="s">
        <v>11</v>
      </c>
      <c r="D133" t="s">
        <v>23</v>
      </c>
      <c r="E133" t="s">
        <v>18</v>
      </c>
      <c r="F133">
        <v>53</v>
      </c>
      <c r="G133">
        <v>103548.4</v>
      </c>
      <c r="H133">
        <v>27</v>
      </c>
      <c r="I133">
        <v>74</v>
      </c>
      <c r="J133" t="str">
        <f>IF(Table1[[#This Row],[Treatment Cost]]&gt;75000, "High Cost", "Low Cost")</f>
        <v>High Cost</v>
      </c>
      <c r="K133" t="str">
        <f t="shared" si="4"/>
        <v>Adult</v>
      </c>
    </row>
    <row r="134" spans="1:11" x14ac:dyDescent="0.3">
      <c r="A134" t="s">
        <v>159</v>
      </c>
      <c r="B134" t="s">
        <v>31</v>
      </c>
      <c r="C134" t="s">
        <v>11</v>
      </c>
      <c r="D134" t="s">
        <v>32</v>
      </c>
      <c r="E134" t="s">
        <v>29</v>
      </c>
      <c r="F134">
        <v>50</v>
      </c>
      <c r="G134">
        <v>62134.18</v>
      </c>
      <c r="H134">
        <v>13</v>
      </c>
      <c r="I134">
        <v>40</v>
      </c>
      <c r="J134" t="str">
        <f>IF(Table1[[#This Row],[Treatment Cost]]&gt;75000, "High Cost", "Low Cost")</f>
        <v>Low Cost</v>
      </c>
      <c r="K134" t="str">
        <f t="shared" si="4"/>
        <v>Middle-aged</v>
      </c>
    </row>
    <row r="135" spans="1:11" x14ac:dyDescent="0.3">
      <c r="A135" t="s">
        <v>160</v>
      </c>
      <c r="B135" t="s">
        <v>36</v>
      </c>
      <c r="C135" t="s">
        <v>41</v>
      </c>
      <c r="D135" t="s">
        <v>32</v>
      </c>
      <c r="E135" t="s">
        <v>18</v>
      </c>
      <c r="F135">
        <v>7</v>
      </c>
      <c r="G135">
        <v>59235.13</v>
      </c>
      <c r="H135">
        <v>12</v>
      </c>
      <c r="I135">
        <v>42</v>
      </c>
      <c r="J135" t="str">
        <f>IF(Table1[[#This Row],[Treatment Cost]]&gt;75000, "High Cost", "Low Cost")</f>
        <v>Low Cost</v>
      </c>
      <c r="K135" t="str">
        <f t="shared" si="4"/>
        <v>Middle-aged</v>
      </c>
    </row>
    <row r="136" spans="1:11" x14ac:dyDescent="0.3">
      <c r="A136" t="s">
        <v>161</v>
      </c>
      <c r="B136" t="s">
        <v>10</v>
      </c>
      <c r="C136" t="s">
        <v>28</v>
      </c>
      <c r="D136" t="s">
        <v>32</v>
      </c>
      <c r="E136" t="s">
        <v>18</v>
      </c>
      <c r="F136">
        <v>38</v>
      </c>
      <c r="G136">
        <v>118022.05</v>
      </c>
      <c r="H136">
        <v>17</v>
      </c>
      <c r="I136">
        <v>79</v>
      </c>
      <c r="J136" t="str">
        <f>IF(Table1[[#This Row],[Treatment Cost]]&gt;75000, "High Cost", "Low Cost")</f>
        <v>High Cost</v>
      </c>
      <c r="K136" t="str">
        <f t="shared" si="4"/>
        <v>Child</v>
      </c>
    </row>
    <row r="137" spans="1:11" x14ac:dyDescent="0.3">
      <c r="A137" t="s">
        <v>162</v>
      </c>
      <c r="B137" t="s">
        <v>25</v>
      </c>
      <c r="C137" t="s">
        <v>11</v>
      </c>
      <c r="D137" t="s">
        <v>26</v>
      </c>
      <c r="E137" t="s">
        <v>13</v>
      </c>
      <c r="F137">
        <v>49</v>
      </c>
      <c r="G137">
        <v>127750.62</v>
      </c>
      <c r="H137">
        <v>18</v>
      </c>
      <c r="I137">
        <v>60</v>
      </c>
      <c r="J137" t="str">
        <f>IF(Table1[[#This Row],[Treatment Cost]]&gt;75000, "High Cost", "Low Cost")</f>
        <v>High Cost</v>
      </c>
      <c r="K137" t="str">
        <f t="shared" si="4"/>
        <v>Adult</v>
      </c>
    </row>
    <row r="138" spans="1:11" x14ac:dyDescent="0.3">
      <c r="A138" t="s">
        <v>163</v>
      </c>
      <c r="B138" t="s">
        <v>15</v>
      </c>
      <c r="C138" t="s">
        <v>28</v>
      </c>
      <c r="D138" t="s">
        <v>17</v>
      </c>
      <c r="E138" t="s">
        <v>29</v>
      </c>
      <c r="F138">
        <v>27</v>
      </c>
      <c r="G138">
        <v>79666.86</v>
      </c>
      <c r="H138">
        <v>16</v>
      </c>
      <c r="I138">
        <v>85</v>
      </c>
      <c r="J138" t="str">
        <f>IF(Table1[[#This Row],[Treatment Cost]]&gt;75000, "High Cost", "Low Cost")</f>
        <v>High Cost</v>
      </c>
      <c r="K138" t="str">
        <f t="shared" si="4"/>
        <v>Middle-aged</v>
      </c>
    </row>
    <row r="139" spans="1:11" x14ac:dyDescent="0.3">
      <c r="A139" t="s">
        <v>164</v>
      </c>
      <c r="B139" t="s">
        <v>22</v>
      </c>
      <c r="C139" t="s">
        <v>41</v>
      </c>
      <c r="D139" t="s">
        <v>12</v>
      </c>
      <c r="E139" t="s">
        <v>13</v>
      </c>
      <c r="F139">
        <v>65</v>
      </c>
      <c r="G139">
        <v>120956.04</v>
      </c>
      <c r="H139">
        <v>25</v>
      </c>
      <c r="I139">
        <v>95</v>
      </c>
      <c r="J139" t="str">
        <f>IF(Table1[[#This Row],[Treatment Cost]]&gt;75000, "High Cost", "Low Cost")</f>
        <v>High Cost</v>
      </c>
      <c r="K139" t="str">
        <f t="shared" si="4"/>
        <v>Young Adult</v>
      </c>
    </row>
    <row r="140" spans="1:11" x14ac:dyDescent="0.3">
      <c r="A140" t="s">
        <v>165</v>
      </c>
      <c r="B140" t="s">
        <v>10</v>
      </c>
      <c r="C140" t="s">
        <v>28</v>
      </c>
      <c r="D140" t="s">
        <v>26</v>
      </c>
      <c r="E140" t="s">
        <v>18</v>
      </c>
      <c r="F140">
        <v>58</v>
      </c>
      <c r="G140">
        <v>100338.81</v>
      </c>
      <c r="H140">
        <v>7</v>
      </c>
      <c r="I140">
        <v>59</v>
      </c>
      <c r="J140" t="str">
        <f>IF(Table1[[#This Row],[Treatment Cost]]&gt;75000, "High Cost", "Low Cost")</f>
        <v>High Cost</v>
      </c>
      <c r="K140" t="str">
        <f t="shared" si="4"/>
        <v>Senior</v>
      </c>
    </row>
    <row r="141" spans="1:11" x14ac:dyDescent="0.3">
      <c r="A141" t="s">
        <v>166</v>
      </c>
      <c r="B141" t="s">
        <v>31</v>
      </c>
      <c r="C141" t="s">
        <v>28</v>
      </c>
      <c r="D141" t="s">
        <v>12</v>
      </c>
      <c r="E141" t="s">
        <v>13</v>
      </c>
      <c r="F141">
        <v>22</v>
      </c>
      <c r="G141">
        <v>120621.62</v>
      </c>
      <c r="H141">
        <v>21</v>
      </c>
      <c r="I141">
        <v>74</v>
      </c>
      <c r="J141" t="str">
        <f>IF(Table1[[#This Row],[Treatment Cost]]&gt;75000, "High Cost", "Low Cost")</f>
        <v>High Cost</v>
      </c>
      <c r="K141" t="str">
        <f t="shared" si="4"/>
        <v>Middle-aged</v>
      </c>
    </row>
    <row r="142" spans="1:11" x14ac:dyDescent="0.3">
      <c r="A142" t="s">
        <v>167</v>
      </c>
      <c r="B142" t="s">
        <v>10</v>
      </c>
      <c r="C142" t="s">
        <v>28</v>
      </c>
      <c r="D142" t="s">
        <v>23</v>
      </c>
      <c r="E142" t="s">
        <v>18</v>
      </c>
      <c r="F142">
        <v>10</v>
      </c>
      <c r="G142">
        <v>21143.75</v>
      </c>
      <c r="H142">
        <v>2</v>
      </c>
      <c r="I142">
        <v>42</v>
      </c>
      <c r="J142" t="str">
        <f>IF(Table1[[#This Row],[Treatment Cost]]&gt;75000, "High Cost", "Low Cost")</f>
        <v>Low Cost</v>
      </c>
      <c r="K142" t="str">
        <f t="shared" si="4"/>
        <v>Young Adult</v>
      </c>
    </row>
    <row r="143" spans="1:11" x14ac:dyDescent="0.3">
      <c r="A143" t="s">
        <v>168</v>
      </c>
      <c r="B143" t="s">
        <v>31</v>
      </c>
      <c r="C143" t="s">
        <v>28</v>
      </c>
      <c r="D143" t="s">
        <v>32</v>
      </c>
      <c r="E143" t="s">
        <v>29</v>
      </c>
      <c r="F143">
        <v>37</v>
      </c>
      <c r="G143">
        <v>58168.06</v>
      </c>
      <c r="H143">
        <v>3</v>
      </c>
      <c r="I143">
        <v>84</v>
      </c>
      <c r="J143" t="str">
        <f>IF(Table1[[#This Row],[Treatment Cost]]&gt;75000, "High Cost", "Low Cost")</f>
        <v>Low Cost</v>
      </c>
      <c r="K143" t="str">
        <f t="shared" si="4"/>
        <v>Child</v>
      </c>
    </row>
    <row r="144" spans="1:11" x14ac:dyDescent="0.3">
      <c r="A144" t="s">
        <v>169</v>
      </c>
      <c r="B144" t="s">
        <v>15</v>
      </c>
      <c r="C144" t="s">
        <v>41</v>
      </c>
      <c r="D144" t="s">
        <v>32</v>
      </c>
      <c r="E144" t="s">
        <v>13</v>
      </c>
      <c r="F144">
        <v>57</v>
      </c>
      <c r="G144">
        <v>121600.57</v>
      </c>
      <c r="H144">
        <v>19</v>
      </c>
      <c r="I144">
        <v>94</v>
      </c>
      <c r="J144" t="str">
        <f>IF(Table1[[#This Row],[Treatment Cost]]&gt;75000, "High Cost", "Low Cost")</f>
        <v>High Cost</v>
      </c>
      <c r="K144" t="str">
        <f t="shared" si="4"/>
        <v>Adult</v>
      </c>
    </row>
    <row r="145" spans="1:11" x14ac:dyDescent="0.3">
      <c r="A145" t="s">
        <v>170</v>
      </c>
      <c r="B145" t="s">
        <v>25</v>
      </c>
      <c r="C145" t="s">
        <v>16</v>
      </c>
      <c r="D145" t="s">
        <v>26</v>
      </c>
      <c r="E145" t="s">
        <v>18</v>
      </c>
      <c r="F145">
        <v>26</v>
      </c>
      <c r="G145">
        <v>60409.31</v>
      </c>
      <c r="H145">
        <v>25</v>
      </c>
      <c r="I145">
        <v>94</v>
      </c>
      <c r="J145" t="str">
        <f>IF(Table1[[#This Row],[Treatment Cost]]&gt;75000, "High Cost", "Low Cost")</f>
        <v>Low Cost</v>
      </c>
      <c r="K145" t="str">
        <f t="shared" si="4"/>
        <v>Middle-aged</v>
      </c>
    </row>
    <row r="146" spans="1:11" x14ac:dyDescent="0.3">
      <c r="A146" t="s">
        <v>171</v>
      </c>
      <c r="B146" t="s">
        <v>10</v>
      </c>
      <c r="C146" t="s">
        <v>16</v>
      </c>
      <c r="D146" t="s">
        <v>23</v>
      </c>
      <c r="E146" t="s">
        <v>18</v>
      </c>
      <c r="F146">
        <v>51</v>
      </c>
      <c r="G146">
        <v>148766.01</v>
      </c>
      <c r="H146">
        <v>21</v>
      </c>
      <c r="I146">
        <v>76</v>
      </c>
      <c r="J146" t="str">
        <f>IF(Table1[[#This Row],[Treatment Cost]]&gt;75000, "High Cost", "Low Cost")</f>
        <v>High Cost</v>
      </c>
      <c r="K146" t="str">
        <f t="shared" si="4"/>
        <v>Young Adult</v>
      </c>
    </row>
    <row r="147" spans="1:11" x14ac:dyDescent="0.3">
      <c r="A147" t="s">
        <v>172</v>
      </c>
      <c r="B147" t="s">
        <v>10</v>
      </c>
      <c r="C147" t="s">
        <v>28</v>
      </c>
      <c r="D147" t="s">
        <v>26</v>
      </c>
      <c r="E147" t="s">
        <v>18</v>
      </c>
      <c r="F147">
        <v>1</v>
      </c>
      <c r="G147">
        <v>46211.03</v>
      </c>
      <c r="H147">
        <v>4</v>
      </c>
      <c r="I147">
        <v>97</v>
      </c>
      <c r="J147" t="str">
        <f>IF(Table1[[#This Row],[Treatment Cost]]&gt;75000, "High Cost", "Low Cost")</f>
        <v>Low Cost</v>
      </c>
      <c r="K147" t="str">
        <f t="shared" si="4"/>
        <v>Middle-aged</v>
      </c>
    </row>
    <row r="148" spans="1:11" x14ac:dyDescent="0.3">
      <c r="A148" t="s">
        <v>173</v>
      </c>
      <c r="B148" t="s">
        <v>36</v>
      </c>
      <c r="C148" t="s">
        <v>11</v>
      </c>
      <c r="D148" t="s">
        <v>26</v>
      </c>
      <c r="E148" t="s">
        <v>18</v>
      </c>
      <c r="F148">
        <v>61</v>
      </c>
      <c r="G148">
        <v>32781.94</v>
      </c>
      <c r="H148">
        <v>1</v>
      </c>
      <c r="I148">
        <v>83</v>
      </c>
      <c r="J148" t="str">
        <f>IF(Table1[[#This Row],[Treatment Cost]]&gt;75000, "High Cost", "Low Cost")</f>
        <v>Low Cost</v>
      </c>
      <c r="K148" t="str">
        <f t="shared" si="4"/>
        <v>Child</v>
      </c>
    </row>
    <row r="149" spans="1:11" x14ac:dyDescent="0.3">
      <c r="A149" t="s">
        <v>174</v>
      </c>
      <c r="B149" t="s">
        <v>36</v>
      </c>
      <c r="C149" t="s">
        <v>16</v>
      </c>
      <c r="D149" t="s">
        <v>17</v>
      </c>
      <c r="E149" t="s">
        <v>29</v>
      </c>
      <c r="F149">
        <v>34</v>
      </c>
      <c r="G149">
        <v>139264.72</v>
      </c>
      <c r="H149">
        <v>14</v>
      </c>
      <c r="I149">
        <v>72</v>
      </c>
      <c r="J149" t="str">
        <f>IF(Table1[[#This Row],[Treatment Cost]]&gt;75000, "High Cost", "Low Cost")</f>
        <v>High Cost</v>
      </c>
      <c r="K149" t="str">
        <f t="shared" si="4"/>
        <v>Senior</v>
      </c>
    </row>
    <row r="150" spans="1:11" x14ac:dyDescent="0.3">
      <c r="A150" t="s">
        <v>175</v>
      </c>
      <c r="B150" t="s">
        <v>15</v>
      </c>
      <c r="C150" t="s">
        <v>11</v>
      </c>
      <c r="D150" t="s">
        <v>32</v>
      </c>
      <c r="E150" t="s">
        <v>13</v>
      </c>
      <c r="F150">
        <v>78</v>
      </c>
      <c r="G150">
        <v>15165.98</v>
      </c>
      <c r="H150">
        <v>25</v>
      </c>
      <c r="I150">
        <v>86</v>
      </c>
      <c r="J150" t="str">
        <f>IF(Table1[[#This Row],[Treatment Cost]]&gt;75000, "High Cost", "Low Cost")</f>
        <v>Low Cost</v>
      </c>
      <c r="K150" t="str">
        <f t="shared" si="4"/>
        <v>Adult</v>
      </c>
    </row>
    <row r="151" spans="1:11" x14ac:dyDescent="0.3">
      <c r="A151" t="s">
        <v>176</v>
      </c>
      <c r="B151" t="s">
        <v>10</v>
      </c>
      <c r="C151" t="s">
        <v>28</v>
      </c>
      <c r="D151" t="s">
        <v>17</v>
      </c>
      <c r="E151" t="s">
        <v>18</v>
      </c>
      <c r="F151">
        <v>73</v>
      </c>
      <c r="G151">
        <v>133910.69</v>
      </c>
      <c r="H151">
        <v>22</v>
      </c>
      <c r="I151">
        <v>87</v>
      </c>
      <c r="J151" t="str">
        <f>IF(Table1[[#This Row],[Treatment Cost]]&gt;75000, "High Cost", "Low Cost")</f>
        <v>High Cost</v>
      </c>
      <c r="K151" t="str">
        <f t="shared" si="4"/>
        <v>Elderly</v>
      </c>
    </row>
    <row r="152" spans="1:11" x14ac:dyDescent="0.3">
      <c r="A152" t="s">
        <v>177</v>
      </c>
      <c r="B152" t="s">
        <v>25</v>
      </c>
      <c r="C152" t="s">
        <v>28</v>
      </c>
      <c r="D152" t="s">
        <v>12</v>
      </c>
      <c r="E152" t="s">
        <v>18</v>
      </c>
      <c r="F152">
        <v>8</v>
      </c>
      <c r="G152">
        <v>82835.539999999994</v>
      </c>
      <c r="H152">
        <v>24</v>
      </c>
      <c r="I152">
        <v>94</v>
      </c>
      <c r="J152" t="str">
        <f>IF(Table1[[#This Row],[Treatment Cost]]&gt;75000, "High Cost", "Low Cost")</f>
        <v>High Cost</v>
      </c>
      <c r="K152" t="str">
        <f t="shared" si="4"/>
        <v>Senior</v>
      </c>
    </row>
    <row r="153" spans="1:11" x14ac:dyDescent="0.3">
      <c r="A153" t="s">
        <v>178</v>
      </c>
      <c r="B153" t="s">
        <v>10</v>
      </c>
      <c r="C153" t="s">
        <v>16</v>
      </c>
      <c r="D153" t="s">
        <v>32</v>
      </c>
      <c r="E153" t="s">
        <v>18</v>
      </c>
      <c r="F153">
        <v>16</v>
      </c>
      <c r="G153">
        <v>109945.06</v>
      </c>
      <c r="H153">
        <v>23</v>
      </c>
      <c r="I153">
        <v>76</v>
      </c>
      <c r="J153" t="str">
        <f>IF(Table1[[#This Row],[Treatment Cost]]&gt;75000, "High Cost", "Low Cost")</f>
        <v>High Cost</v>
      </c>
      <c r="K153" t="str">
        <f t="shared" si="4"/>
        <v>Child</v>
      </c>
    </row>
    <row r="154" spans="1:11" x14ac:dyDescent="0.3">
      <c r="A154" t="s">
        <v>179</v>
      </c>
      <c r="B154" t="s">
        <v>10</v>
      </c>
      <c r="C154" t="s">
        <v>16</v>
      </c>
      <c r="D154" t="s">
        <v>26</v>
      </c>
      <c r="E154" t="s">
        <v>29</v>
      </c>
      <c r="F154">
        <v>3</v>
      </c>
      <c r="G154">
        <v>40894.400000000001</v>
      </c>
      <c r="H154">
        <v>20</v>
      </c>
      <c r="I154">
        <v>46</v>
      </c>
      <c r="J154" t="str">
        <f>IF(Table1[[#This Row],[Treatment Cost]]&gt;75000, "High Cost", "Low Cost")</f>
        <v>Low Cost</v>
      </c>
      <c r="K154" t="str">
        <f t="shared" si="4"/>
        <v>Teenager</v>
      </c>
    </row>
    <row r="155" spans="1:11" x14ac:dyDescent="0.3">
      <c r="A155" t="s">
        <v>180</v>
      </c>
      <c r="B155" t="s">
        <v>10</v>
      </c>
      <c r="C155" t="s">
        <v>16</v>
      </c>
      <c r="D155" t="s">
        <v>26</v>
      </c>
      <c r="E155" t="s">
        <v>29</v>
      </c>
      <c r="F155">
        <v>28</v>
      </c>
      <c r="G155">
        <v>5522.04</v>
      </c>
      <c r="H155">
        <v>20</v>
      </c>
      <c r="I155">
        <v>95</v>
      </c>
      <c r="J155" t="str">
        <f>IF(Table1[[#This Row],[Treatment Cost]]&gt;75000, "High Cost", "Low Cost")</f>
        <v>Low Cost</v>
      </c>
      <c r="K155" t="str">
        <f t="shared" si="4"/>
        <v>Child</v>
      </c>
    </row>
    <row r="156" spans="1:11" x14ac:dyDescent="0.3">
      <c r="A156" t="s">
        <v>181</v>
      </c>
      <c r="B156" t="s">
        <v>22</v>
      </c>
      <c r="C156" t="s">
        <v>41</v>
      </c>
      <c r="D156" t="s">
        <v>26</v>
      </c>
      <c r="E156" t="s">
        <v>18</v>
      </c>
      <c r="F156">
        <v>38</v>
      </c>
      <c r="G156">
        <v>121567.96</v>
      </c>
      <c r="H156">
        <v>26</v>
      </c>
      <c r="I156">
        <v>65</v>
      </c>
      <c r="J156" t="str">
        <f>IF(Table1[[#This Row],[Treatment Cost]]&gt;75000, "High Cost", "Low Cost")</f>
        <v>High Cost</v>
      </c>
      <c r="K156" t="str">
        <f t="shared" si="4"/>
        <v>Young Adult</v>
      </c>
    </row>
    <row r="157" spans="1:11" x14ac:dyDescent="0.3">
      <c r="A157" t="s">
        <v>182</v>
      </c>
      <c r="B157" t="s">
        <v>10</v>
      </c>
      <c r="C157" t="s">
        <v>41</v>
      </c>
      <c r="D157" t="s">
        <v>32</v>
      </c>
      <c r="E157" t="s">
        <v>13</v>
      </c>
      <c r="F157">
        <v>2</v>
      </c>
      <c r="G157">
        <v>14606.74</v>
      </c>
      <c r="H157">
        <v>30</v>
      </c>
      <c r="I157">
        <v>75</v>
      </c>
      <c r="J157" t="str">
        <f>IF(Table1[[#This Row],[Treatment Cost]]&gt;75000, "High Cost", "Low Cost")</f>
        <v>Low Cost</v>
      </c>
      <c r="K157" t="str">
        <f t="shared" si="4"/>
        <v>Adult</v>
      </c>
    </row>
    <row r="158" spans="1:11" x14ac:dyDescent="0.3">
      <c r="A158" t="s">
        <v>183</v>
      </c>
      <c r="B158" t="s">
        <v>15</v>
      </c>
      <c r="C158" t="s">
        <v>28</v>
      </c>
      <c r="D158" t="s">
        <v>23</v>
      </c>
      <c r="E158" t="s">
        <v>18</v>
      </c>
      <c r="F158">
        <v>6</v>
      </c>
      <c r="G158">
        <v>116568.72</v>
      </c>
      <c r="H158">
        <v>24</v>
      </c>
      <c r="I158">
        <v>65</v>
      </c>
      <c r="J158" t="str">
        <f>IF(Table1[[#This Row],[Treatment Cost]]&gt;75000, "High Cost", "Low Cost")</f>
        <v>High Cost</v>
      </c>
      <c r="K158" t="str">
        <f t="shared" si="4"/>
        <v>Child</v>
      </c>
    </row>
    <row r="159" spans="1:11" x14ac:dyDescent="0.3">
      <c r="A159" t="s">
        <v>184</v>
      </c>
      <c r="B159" t="s">
        <v>25</v>
      </c>
      <c r="C159" t="s">
        <v>16</v>
      </c>
      <c r="D159" t="s">
        <v>32</v>
      </c>
      <c r="E159" t="s">
        <v>18</v>
      </c>
      <c r="F159">
        <v>33</v>
      </c>
      <c r="G159">
        <v>70189.8</v>
      </c>
      <c r="H159">
        <v>14</v>
      </c>
      <c r="I159">
        <v>88</v>
      </c>
      <c r="J159" t="str">
        <f>IF(Table1[[#This Row],[Treatment Cost]]&gt;75000, "High Cost", "Low Cost")</f>
        <v>Low Cost</v>
      </c>
      <c r="K159" t="str">
        <f t="shared" si="4"/>
        <v>Child</v>
      </c>
    </row>
    <row r="160" spans="1:11" x14ac:dyDescent="0.3">
      <c r="A160" t="s">
        <v>185</v>
      </c>
      <c r="B160" t="s">
        <v>36</v>
      </c>
      <c r="C160" t="s">
        <v>16</v>
      </c>
      <c r="D160" t="s">
        <v>26</v>
      </c>
      <c r="E160" t="s">
        <v>29</v>
      </c>
      <c r="F160">
        <v>28</v>
      </c>
      <c r="G160">
        <v>136392.39000000001</v>
      </c>
      <c r="H160">
        <v>22</v>
      </c>
      <c r="I160">
        <v>77</v>
      </c>
      <c r="J160" t="str">
        <f>IF(Table1[[#This Row],[Treatment Cost]]&gt;75000, "High Cost", "Low Cost")</f>
        <v>High Cost</v>
      </c>
      <c r="K160" t="str">
        <f t="shared" si="4"/>
        <v>Adult</v>
      </c>
    </row>
    <row r="161" spans="1:11" x14ac:dyDescent="0.3">
      <c r="A161" t="s">
        <v>186</v>
      </c>
      <c r="B161" t="s">
        <v>36</v>
      </c>
      <c r="C161" t="s">
        <v>41</v>
      </c>
      <c r="D161" t="s">
        <v>26</v>
      </c>
      <c r="E161" t="s">
        <v>29</v>
      </c>
      <c r="F161">
        <v>56</v>
      </c>
      <c r="G161">
        <v>139281.34</v>
      </c>
      <c r="H161">
        <v>24</v>
      </c>
      <c r="I161">
        <v>96</v>
      </c>
      <c r="J161" t="str">
        <f>IF(Table1[[#This Row],[Treatment Cost]]&gt;75000, "High Cost", "Low Cost")</f>
        <v>High Cost</v>
      </c>
      <c r="K161" t="str">
        <f t="shared" si="4"/>
        <v>Young Adult</v>
      </c>
    </row>
    <row r="162" spans="1:11" x14ac:dyDescent="0.3">
      <c r="A162" t="s">
        <v>187</v>
      </c>
      <c r="B162" t="s">
        <v>15</v>
      </c>
      <c r="C162" t="s">
        <v>11</v>
      </c>
      <c r="D162" t="s">
        <v>26</v>
      </c>
      <c r="E162" t="s">
        <v>18</v>
      </c>
      <c r="F162">
        <v>80</v>
      </c>
      <c r="G162">
        <v>140818.37</v>
      </c>
      <c r="H162">
        <v>9</v>
      </c>
      <c r="I162">
        <v>42</v>
      </c>
      <c r="J162" t="str">
        <f>IF(Table1[[#This Row],[Treatment Cost]]&gt;75000, "High Cost", "Low Cost")</f>
        <v>High Cost</v>
      </c>
      <c r="K162" t="str">
        <f t="shared" ref="K162:K193" si="5">IF(A161&lt;=5,"Infant / Toddler",
IF(F161&lt;=12,"Child",
IF(F161&lt;=19,"Teenager",
IF(F161&lt;=29,"Young Adult",
IF(F161&lt;=44,"Adult",
IF(F161&lt;=59,"Middle-aged",
IF(F161&lt;=74,"Senior","Elderly")))))))</f>
        <v>Middle-aged</v>
      </c>
    </row>
    <row r="163" spans="1:11" x14ac:dyDescent="0.3">
      <c r="A163" t="s">
        <v>188</v>
      </c>
      <c r="B163" t="s">
        <v>31</v>
      </c>
      <c r="C163" t="s">
        <v>41</v>
      </c>
      <c r="D163" t="s">
        <v>17</v>
      </c>
      <c r="E163" t="s">
        <v>18</v>
      </c>
      <c r="F163">
        <v>74</v>
      </c>
      <c r="G163">
        <v>56018.43</v>
      </c>
      <c r="H163">
        <v>7</v>
      </c>
      <c r="I163">
        <v>77</v>
      </c>
      <c r="J163" t="str">
        <f>IF(Table1[[#This Row],[Treatment Cost]]&gt;75000, "High Cost", "Low Cost")</f>
        <v>Low Cost</v>
      </c>
      <c r="K163" t="str">
        <f t="shared" si="5"/>
        <v>Elderly</v>
      </c>
    </row>
    <row r="164" spans="1:11" x14ac:dyDescent="0.3">
      <c r="A164" t="s">
        <v>189</v>
      </c>
      <c r="B164" t="s">
        <v>22</v>
      </c>
      <c r="C164" t="s">
        <v>41</v>
      </c>
      <c r="D164" t="s">
        <v>32</v>
      </c>
      <c r="E164" t="s">
        <v>29</v>
      </c>
      <c r="F164">
        <v>72</v>
      </c>
      <c r="G164">
        <v>144841.74</v>
      </c>
      <c r="H164">
        <v>5</v>
      </c>
      <c r="I164">
        <v>57</v>
      </c>
      <c r="J164" t="str">
        <f>IF(Table1[[#This Row],[Treatment Cost]]&gt;75000, "High Cost", "Low Cost")</f>
        <v>High Cost</v>
      </c>
      <c r="K164" t="str">
        <f t="shared" si="5"/>
        <v>Senior</v>
      </c>
    </row>
    <row r="165" spans="1:11" x14ac:dyDescent="0.3">
      <c r="A165" t="s">
        <v>190</v>
      </c>
      <c r="B165" t="s">
        <v>31</v>
      </c>
      <c r="C165" t="s">
        <v>11</v>
      </c>
      <c r="D165" t="s">
        <v>23</v>
      </c>
      <c r="E165" t="s">
        <v>18</v>
      </c>
      <c r="F165">
        <v>14</v>
      </c>
      <c r="G165">
        <v>123398.79</v>
      </c>
      <c r="H165">
        <v>21</v>
      </c>
      <c r="I165">
        <v>77</v>
      </c>
      <c r="J165" t="str">
        <f>IF(Table1[[#This Row],[Treatment Cost]]&gt;75000, "High Cost", "Low Cost")</f>
        <v>High Cost</v>
      </c>
      <c r="K165" t="str">
        <f t="shared" si="5"/>
        <v>Senior</v>
      </c>
    </row>
    <row r="166" spans="1:11" x14ac:dyDescent="0.3">
      <c r="A166" t="s">
        <v>191</v>
      </c>
      <c r="B166" t="s">
        <v>15</v>
      </c>
      <c r="C166" t="s">
        <v>41</v>
      </c>
      <c r="D166" t="s">
        <v>32</v>
      </c>
      <c r="E166" t="s">
        <v>18</v>
      </c>
      <c r="F166">
        <v>48</v>
      </c>
      <c r="G166">
        <v>10911.55</v>
      </c>
      <c r="H166">
        <v>19</v>
      </c>
      <c r="I166">
        <v>47</v>
      </c>
      <c r="J166" t="str">
        <f>IF(Table1[[#This Row],[Treatment Cost]]&gt;75000, "High Cost", "Low Cost")</f>
        <v>Low Cost</v>
      </c>
      <c r="K166" t="str">
        <f t="shared" si="5"/>
        <v>Teenager</v>
      </c>
    </row>
    <row r="167" spans="1:11" x14ac:dyDescent="0.3">
      <c r="A167" t="s">
        <v>192</v>
      </c>
      <c r="B167" t="s">
        <v>36</v>
      </c>
      <c r="C167" t="s">
        <v>16</v>
      </c>
      <c r="D167" t="s">
        <v>32</v>
      </c>
      <c r="E167" t="s">
        <v>13</v>
      </c>
      <c r="F167">
        <v>87</v>
      </c>
      <c r="G167">
        <v>96532.96</v>
      </c>
      <c r="H167">
        <v>7</v>
      </c>
      <c r="I167">
        <v>93</v>
      </c>
      <c r="J167" t="str">
        <f>IF(Table1[[#This Row],[Treatment Cost]]&gt;75000, "High Cost", "Low Cost")</f>
        <v>High Cost</v>
      </c>
      <c r="K167" t="str">
        <f t="shared" si="5"/>
        <v>Middle-aged</v>
      </c>
    </row>
    <row r="168" spans="1:11" x14ac:dyDescent="0.3">
      <c r="A168" t="s">
        <v>193</v>
      </c>
      <c r="B168" t="s">
        <v>15</v>
      </c>
      <c r="C168" t="s">
        <v>41</v>
      </c>
      <c r="D168" t="s">
        <v>32</v>
      </c>
      <c r="E168" t="s">
        <v>29</v>
      </c>
      <c r="F168">
        <v>49</v>
      </c>
      <c r="G168">
        <v>126056.09</v>
      </c>
      <c r="H168">
        <v>11</v>
      </c>
      <c r="I168">
        <v>78</v>
      </c>
      <c r="J168" t="str">
        <f>IF(Table1[[#This Row],[Treatment Cost]]&gt;75000, "High Cost", "Low Cost")</f>
        <v>High Cost</v>
      </c>
      <c r="K168" t="str">
        <f t="shared" si="5"/>
        <v>Elderly</v>
      </c>
    </row>
    <row r="169" spans="1:11" x14ac:dyDescent="0.3">
      <c r="A169" t="s">
        <v>194</v>
      </c>
      <c r="B169" t="s">
        <v>36</v>
      </c>
      <c r="C169" t="s">
        <v>41</v>
      </c>
      <c r="D169" t="s">
        <v>32</v>
      </c>
      <c r="E169" t="s">
        <v>29</v>
      </c>
      <c r="F169">
        <v>42</v>
      </c>
      <c r="G169">
        <v>92788.13</v>
      </c>
      <c r="H169">
        <v>4</v>
      </c>
      <c r="I169">
        <v>41</v>
      </c>
      <c r="J169" t="str">
        <f>IF(Table1[[#This Row],[Treatment Cost]]&gt;75000, "High Cost", "Low Cost")</f>
        <v>High Cost</v>
      </c>
      <c r="K169" t="str">
        <f t="shared" si="5"/>
        <v>Middle-aged</v>
      </c>
    </row>
    <row r="170" spans="1:11" x14ac:dyDescent="0.3">
      <c r="A170" t="s">
        <v>195</v>
      </c>
      <c r="B170" t="s">
        <v>15</v>
      </c>
      <c r="C170" t="s">
        <v>11</v>
      </c>
      <c r="D170" t="s">
        <v>26</v>
      </c>
      <c r="E170" t="s">
        <v>18</v>
      </c>
      <c r="F170">
        <v>36</v>
      </c>
      <c r="G170">
        <v>24614.639999999999</v>
      </c>
      <c r="H170">
        <v>30</v>
      </c>
      <c r="I170">
        <v>57</v>
      </c>
      <c r="J170" t="str">
        <f>IF(Table1[[#This Row],[Treatment Cost]]&gt;75000, "High Cost", "Low Cost")</f>
        <v>Low Cost</v>
      </c>
      <c r="K170" t="str">
        <f t="shared" si="5"/>
        <v>Adult</v>
      </c>
    </row>
    <row r="171" spans="1:11" x14ac:dyDescent="0.3">
      <c r="A171" t="s">
        <v>196</v>
      </c>
      <c r="B171" t="s">
        <v>31</v>
      </c>
      <c r="C171" t="s">
        <v>11</v>
      </c>
      <c r="D171" t="s">
        <v>12</v>
      </c>
      <c r="E171" t="s">
        <v>29</v>
      </c>
      <c r="F171">
        <v>56</v>
      </c>
      <c r="G171">
        <v>36862.400000000001</v>
      </c>
      <c r="H171">
        <v>28</v>
      </c>
      <c r="I171">
        <v>66</v>
      </c>
      <c r="J171" t="str">
        <f>IF(Table1[[#This Row],[Treatment Cost]]&gt;75000, "High Cost", "Low Cost")</f>
        <v>Low Cost</v>
      </c>
      <c r="K171" t="str">
        <f t="shared" si="5"/>
        <v>Adult</v>
      </c>
    </row>
    <row r="172" spans="1:11" x14ac:dyDescent="0.3">
      <c r="A172" t="s">
        <v>197</v>
      </c>
      <c r="B172" t="s">
        <v>10</v>
      </c>
      <c r="C172" t="s">
        <v>16</v>
      </c>
      <c r="D172" t="s">
        <v>12</v>
      </c>
      <c r="E172" t="s">
        <v>18</v>
      </c>
      <c r="F172">
        <v>39</v>
      </c>
      <c r="G172">
        <v>84065.42</v>
      </c>
      <c r="H172">
        <v>28</v>
      </c>
      <c r="I172">
        <v>50</v>
      </c>
      <c r="J172" t="str">
        <f>IF(Table1[[#This Row],[Treatment Cost]]&gt;75000, "High Cost", "Low Cost")</f>
        <v>High Cost</v>
      </c>
      <c r="K172" t="str">
        <f t="shared" si="5"/>
        <v>Middle-aged</v>
      </c>
    </row>
    <row r="173" spans="1:11" x14ac:dyDescent="0.3">
      <c r="A173" t="s">
        <v>198</v>
      </c>
      <c r="B173" t="s">
        <v>10</v>
      </c>
      <c r="C173" t="s">
        <v>41</v>
      </c>
      <c r="D173" t="s">
        <v>12</v>
      </c>
      <c r="E173" t="s">
        <v>29</v>
      </c>
      <c r="F173">
        <v>42</v>
      </c>
      <c r="G173">
        <v>83047.11</v>
      </c>
      <c r="H173">
        <v>13</v>
      </c>
      <c r="I173">
        <v>50</v>
      </c>
      <c r="J173" t="str">
        <f>IF(Table1[[#This Row],[Treatment Cost]]&gt;75000, "High Cost", "Low Cost")</f>
        <v>High Cost</v>
      </c>
      <c r="K173" t="str">
        <f t="shared" si="5"/>
        <v>Adult</v>
      </c>
    </row>
    <row r="174" spans="1:11" x14ac:dyDescent="0.3">
      <c r="A174" t="s">
        <v>199</v>
      </c>
      <c r="B174" t="s">
        <v>10</v>
      </c>
      <c r="C174" t="s">
        <v>11</v>
      </c>
      <c r="D174" t="s">
        <v>26</v>
      </c>
      <c r="E174" t="s">
        <v>29</v>
      </c>
      <c r="F174">
        <v>59</v>
      </c>
      <c r="G174">
        <v>96326.11</v>
      </c>
      <c r="H174">
        <v>17</v>
      </c>
      <c r="I174">
        <v>82</v>
      </c>
      <c r="J174" t="str">
        <f>IF(Table1[[#This Row],[Treatment Cost]]&gt;75000, "High Cost", "Low Cost")</f>
        <v>High Cost</v>
      </c>
      <c r="K174" t="str">
        <f t="shared" si="5"/>
        <v>Adult</v>
      </c>
    </row>
    <row r="175" spans="1:11" x14ac:dyDescent="0.3">
      <c r="A175" t="s">
        <v>200</v>
      </c>
      <c r="B175" t="s">
        <v>36</v>
      </c>
      <c r="C175" t="s">
        <v>41</v>
      </c>
      <c r="D175" t="s">
        <v>12</v>
      </c>
      <c r="E175" t="s">
        <v>18</v>
      </c>
      <c r="F175">
        <v>67</v>
      </c>
      <c r="G175">
        <v>49487.73</v>
      </c>
      <c r="H175">
        <v>27</v>
      </c>
      <c r="I175">
        <v>72</v>
      </c>
      <c r="J175" t="str">
        <f>IF(Table1[[#This Row],[Treatment Cost]]&gt;75000, "High Cost", "Low Cost")</f>
        <v>Low Cost</v>
      </c>
      <c r="K175" t="str">
        <f t="shared" si="5"/>
        <v>Middle-aged</v>
      </c>
    </row>
    <row r="176" spans="1:11" x14ac:dyDescent="0.3">
      <c r="A176" t="s">
        <v>201</v>
      </c>
      <c r="B176" t="s">
        <v>10</v>
      </c>
      <c r="C176" t="s">
        <v>41</v>
      </c>
      <c r="D176" t="s">
        <v>17</v>
      </c>
      <c r="E176" t="s">
        <v>18</v>
      </c>
      <c r="F176">
        <v>11</v>
      </c>
      <c r="G176">
        <v>18263.25</v>
      </c>
      <c r="H176">
        <v>29</v>
      </c>
      <c r="I176">
        <v>83</v>
      </c>
      <c r="J176" t="str">
        <f>IF(Table1[[#This Row],[Treatment Cost]]&gt;75000, "High Cost", "Low Cost")</f>
        <v>Low Cost</v>
      </c>
      <c r="K176" t="str">
        <f t="shared" si="5"/>
        <v>Senior</v>
      </c>
    </row>
    <row r="177" spans="1:11" x14ac:dyDescent="0.3">
      <c r="A177" t="s">
        <v>202</v>
      </c>
      <c r="B177" t="s">
        <v>31</v>
      </c>
      <c r="C177" t="s">
        <v>28</v>
      </c>
      <c r="D177" t="s">
        <v>12</v>
      </c>
      <c r="E177" t="s">
        <v>13</v>
      </c>
      <c r="F177">
        <v>3</v>
      </c>
      <c r="G177">
        <v>149013.84</v>
      </c>
      <c r="H177">
        <v>26</v>
      </c>
      <c r="I177">
        <v>93</v>
      </c>
      <c r="J177" t="str">
        <f>IF(Table1[[#This Row],[Treatment Cost]]&gt;75000, "High Cost", "Low Cost")</f>
        <v>High Cost</v>
      </c>
      <c r="K177" t="str">
        <f t="shared" si="5"/>
        <v>Child</v>
      </c>
    </row>
    <row r="178" spans="1:11" x14ac:dyDescent="0.3">
      <c r="A178" t="s">
        <v>203</v>
      </c>
      <c r="B178" t="s">
        <v>22</v>
      </c>
      <c r="C178" t="s">
        <v>16</v>
      </c>
      <c r="D178" t="s">
        <v>26</v>
      </c>
      <c r="E178" t="s">
        <v>29</v>
      </c>
      <c r="F178">
        <v>69</v>
      </c>
      <c r="G178">
        <v>46708.35</v>
      </c>
      <c r="H178">
        <v>1</v>
      </c>
      <c r="I178">
        <v>88</v>
      </c>
      <c r="J178" t="str">
        <f>IF(Table1[[#This Row],[Treatment Cost]]&gt;75000, "High Cost", "Low Cost")</f>
        <v>Low Cost</v>
      </c>
      <c r="K178" t="str">
        <f t="shared" si="5"/>
        <v>Child</v>
      </c>
    </row>
    <row r="179" spans="1:11" x14ac:dyDescent="0.3">
      <c r="A179" t="s">
        <v>204</v>
      </c>
      <c r="B179" t="s">
        <v>25</v>
      </c>
      <c r="C179" t="s">
        <v>11</v>
      </c>
      <c r="D179" t="s">
        <v>17</v>
      </c>
      <c r="E179" t="s">
        <v>18</v>
      </c>
      <c r="F179">
        <v>54</v>
      </c>
      <c r="G179">
        <v>68133.7</v>
      </c>
      <c r="H179">
        <v>9</v>
      </c>
      <c r="I179">
        <v>60</v>
      </c>
      <c r="J179" t="str">
        <f>IF(Table1[[#This Row],[Treatment Cost]]&gt;75000, "High Cost", "Low Cost")</f>
        <v>Low Cost</v>
      </c>
      <c r="K179" t="str">
        <f t="shared" si="5"/>
        <v>Senior</v>
      </c>
    </row>
    <row r="180" spans="1:11" x14ac:dyDescent="0.3">
      <c r="A180" t="s">
        <v>205</v>
      </c>
      <c r="B180" t="s">
        <v>36</v>
      </c>
      <c r="C180" t="s">
        <v>28</v>
      </c>
      <c r="D180" t="s">
        <v>12</v>
      </c>
      <c r="E180" t="s">
        <v>18</v>
      </c>
      <c r="F180">
        <v>82</v>
      </c>
      <c r="G180">
        <v>19213.509999999998</v>
      </c>
      <c r="H180">
        <v>26</v>
      </c>
      <c r="I180">
        <v>96</v>
      </c>
      <c r="J180" t="str">
        <f>IF(Table1[[#This Row],[Treatment Cost]]&gt;75000, "High Cost", "Low Cost")</f>
        <v>Low Cost</v>
      </c>
      <c r="K180" t="str">
        <f t="shared" si="5"/>
        <v>Middle-aged</v>
      </c>
    </row>
    <row r="181" spans="1:11" x14ac:dyDescent="0.3">
      <c r="A181" t="s">
        <v>206</v>
      </c>
      <c r="B181" t="s">
        <v>25</v>
      </c>
      <c r="C181" t="s">
        <v>41</v>
      </c>
      <c r="D181" t="s">
        <v>26</v>
      </c>
      <c r="E181" t="s">
        <v>18</v>
      </c>
      <c r="F181">
        <v>60</v>
      </c>
      <c r="G181">
        <v>22138.22</v>
      </c>
      <c r="H181">
        <v>3</v>
      </c>
      <c r="I181">
        <v>96</v>
      </c>
      <c r="J181" t="str">
        <f>IF(Table1[[#This Row],[Treatment Cost]]&gt;75000, "High Cost", "Low Cost")</f>
        <v>Low Cost</v>
      </c>
      <c r="K181" t="str">
        <f t="shared" si="5"/>
        <v>Elderly</v>
      </c>
    </row>
    <row r="182" spans="1:11" x14ac:dyDescent="0.3">
      <c r="A182" t="s">
        <v>207</v>
      </c>
      <c r="B182" t="s">
        <v>22</v>
      </c>
      <c r="C182" t="s">
        <v>16</v>
      </c>
      <c r="D182" t="s">
        <v>17</v>
      </c>
      <c r="E182" t="s">
        <v>18</v>
      </c>
      <c r="F182">
        <v>65</v>
      </c>
      <c r="G182">
        <v>30460.26</v>
      </c>
      <c r="H182">
        <v>21</v>
      </c>
      <c r="I182">
        <v>63</v>
      </c>
      <c r="J182" t="str">
        <f>IF(Table1[[#This Row],[Treatment Cost]]&gt;75000, "High Cost", "Low Cost")</f>
        <v>Low Cost</v>
      </c>
      <c r="K182" t="str">
        <f t="shared" si="5"/>
        <v>Senior</v>
      </c>
    </row>
    <row r="183" spans="1:11" x14ac:dyDescent="0.3">
      <c r="A183" t="s">
        <v>208</v>
      </c>
      <c r="B183" t="s">
        <v>15</v>
      </c>
      <c r="C183" t="s">
        <v>28</v>
      </c>
      <c r="D183" t="s">
        <v>23</v>
      </c>
      <c r="E183" t="s">
        <v>18</v>
      </c>
      <c r="F183">
        <v>5</v>
      </c>
      <c r="G183">
        <v>52772.62</v>
      </c>
      <c r="H183">
        <v>9</v>
      </c>
      <c r="I183">
        <v>62</v>
      </c>
      <c r="J183" t="str">
        <f>IF(Table1[[#This Row],[Treatment Cost]]&gt;75000, "High Cost", "Low Cost")</f>
        <v>Low Cost</v>
      </c>
      <c r="K183" t="str">
        <f t="shared" si="5"/>
        <v>Senior</v>
      </c>
    </row>
    <row r="184" spans="1:11" x14ac:dyDescent="0.3">
      <c r="A184" t="s">
        <v>209</v>
      </c>
      <c r="B184" t="s">
        <v>22</v>
      </c>
      <c r="C184" t="s">
        <v>28</v>
      </c>
      <c r="D184" t="s">
        <v>17</v>
      </c>
      <c r="E184" t="s">
        <v>18</v>
      </c>
      <c r="F184">
        <v>54</v>
      </c>
      <c r="G184">
        <v>118241.71</v>
      </c>
      <c r="H184">
        <v>24</v>
      </c>
      <c r="I184">
        <v>81</v>
      </c>
      <c r="J184" t="str">
        <f>IF(Table1[[#This Row],[Treatment Cost]]&gt;75000, "High Cost", "Low Cost")</f>
        <v>High Cost</v>
      </c>
      <c r="K184" t="str">
        <f t="shared" si="5"/>
        <v>Child</v>
      </c>
    </row>
    <row r="185" spans="1:11" x14ac:dyDescent="0.3">
      <c r="A185" t="s">
        <v>210</v>
      </c>
      <c r="B185" t="s">
        <v>10</v>
      </c>
      <c r="C185" t="s">
        <v>16</v>
      </c>
      <c r="D185" t="s">
        <v>32</v>
      </c>
      <c r="E185" t="s">
        <v>18</v>
      </c>
      <c r="F185">
        <v>64</v>
      </c>
      <c r="G185">
        <v>19477.689999999999</v>
      </c>
      <c r="H185">
        <v>6</v>
      </c>
      <c r="I185">
        <v>65</v>
      </c>
      <c r="J185" t="str">
        <f>IF(Table1[[#This Row],[Treatment Cost]]&gt;75000, "High Cost", "Low Cost")</f>
        <v>Low Cost</v>
      </c>
      <c r="K185" t="str">
        <f t="shared" si="5"/>
        <v>Middle-aged</v>
      </c>
    </row>
    <row r="186" spans="1:11" x14ac:dyDescent="0.3">
      <c r="A186" t="s">
        <v>211</v>
      </c>
      <c r="B186" t="s">
        <v>36</v>
      </c>
      <c r="C186" t="s">
        <v>28</v>
      </c>
      <c r="D186" t="s">
        <v>23</v>
      </c>
      <c r="E186" t="s">
        <v>13</v>
      </c>
      <c r="F186">
        <v>77</v>
      </c>
      <c r="G186">
        <v>114541.22</v>
      </c>
      <c r="H186">
        <v>25</v>
      </c>
      <c r="I186">
        <v>69</v>
      </c>
      <c r="J186" t="str">
        <f>IF(Table1[[#This Row],[Treatment Cost]]&gt;75000, "High Cost", "Low Cost")</f>
        <v>High Cost</v>
      </c>
      <c r="K186" t="str">
        <f t="shared" si="5"/>
        <v>Senior</v>
      </c>
    </row>
    <row r="187" spans="1:11" x14ac:dyDescent="0.3">
      <c r="A187" t="s">
        <v>212</v>
      </c>
      <c r="B187" t="s">
        <v>36</v>
      </c>
      <c r="C187" t="s">
        <v>11</v>
      </c>
      <c r="D187" t="s">
        <v>26</v>
      </c>
      <c r="E187" t="s">
        <v>13</v>
      </c>
      <c r="F187">
        <v>72</v>
      </c>
      <c r="G187">
        <v>56437.97</v>
      </c>
      <c r="H187">
        <v>21</v>
      </c>
      <c r="I187">
        <v>78</v>
      </c>
      <c r="J187" t="str">
        <f>IF(Table1[[#This Row],[Treatment Cost]]&gt;75000, "High Cost", "Low Cost")</f>
        <v>Low Cost</v>
      </c>
      <c r="K187" t="str">
        <f t="shared" si="5"/>
        <v>Elderly</v>
      </c>
    </row>
    <row r="188" spans="1:11" x14ac:dyDescent="0.3">
      <c r="A188" t="s">
        <v>213</v>
      </c>
      <c r="B188" t="s">
        <v>31</v>
      </c>
      <c r="C188" t="s">
        <v>16</v>
      </c>
      <c r="D188" t="s">
        <v>17</v>
      </c>
      <c r="E188" t="s">
        <v>18</v>
      </c>
      <c r="F188">
        <v>86</v>
      </c>
      <c r="G188">
        <v>53586.34</v>
      </c>
      <c r="H188">
        <v>22</v>
      </c>
      <c r="I188">
        <v>96</v>
      </c>
      <c r="J188" t="str">
        <f>IF(Table1[[#This Row],[Treatment Cost]]&gt;75000, "High Cost", "Low Cost")</f>
        <v>Low Cost</v>
      </c>
      <c r="K188" t="str">
        <f t="shared" si="5"/>
        <v>Senior</v>
      </c>
    </row>
    <row r="189" spans="1:11" x14ac:dyDescent="0.3">
      <c r="A189" t="s">
        <v>214</v>
      </c>
      <c r="B189" t="s">
        <v>10</v>
      </c>
      <c r="C189" t="s">
        <v>41</v>
      </c>
      <c r="D189" t="s">
        <v>17</v>
      </c>
      <c r="E189" t="s">
        <v>13</v>
      </c>
      <c r="F189">
        <v>62</v>
      </c>
      <c r="G189">
        <v>13836.03</v>
      </c>
      <c r="H189">
        <v>15</v>
      </c>
      <c r="I189">
        <v>60</v>
      </c>
      <c r="J189" t="str">
        <f>IF(Table1[[#This Row],[Treatment Cost]]&gt;75000, "High Cost", "Low Cost")</f>
        <v>Low Cost</v>
      </c>
      <c r="K189" t="str">
        <f t="shared" si="5"/>
        <v>Elderly</v>
      </c>
    </row>
    <row r="190" spans="1:11" x14ac:dyDescent="0.3">
      <c r="A190" t="s">
        <v>215</v>
      </c>
      <c r="B190" t="s">
        <v>15</v>
      </c>
      <c r="C190" t="s">
        <v>28</v>
      </c>
      <c r="D190" t="s">
        <v>23</v>
      </c>
      <c r="E190" t="s">
        <v>18</v>
      </c>
      <c r="F190">
        <v>38</v>
      </c>
      <c r="G190">
        <v>54960.36</v>
      </c>
      <c r="H190">
        <v>26</v>
      </c>
      <c r="I190">
        <v>61</v>
      </c>
      <c r="J190" t="str">
        <f>IF(Table1[[#This Row],[Treatment Cost]]&gt;75000, "High Cost", "Low Cost")</f>
        <v>Low Cost</v>
      </c>
      <c r="K190" t="str">
        <f t="shared" si="5"/>
        <v>Senior</v>
      </c>
    </row>
    <row r="191" spans="1:11" x14ac:dyDescent="0.3">
      <c r="A191" t="s">
        <v>216</v>
      </c>
      <c r="B191" t="s">
        <v>15</v>
      </c>
      <c r="C191" t="s">
        <v>16</v>
      </c>
      <c r="D191" t="s">
        <v>32</v>
      </c>
      <c r="E191" t="s">
        <v>13</v>
      </c>
      <c r="F191">
        <v>70</v>
      </c>
      <c r="G191">
        <v>92629.07</v>
      </c>
      <c r="H191">
        <v>11</v>
      </c>
      <c r="I191">
        <v>96</v>
      </c>
      <c r="J191" t="str">
        <f>IF(Table1[[#This Row],[Treatment Cost]]&gt;75000, "High Cost", "Low Cost")</f>
        <v>High Cost</v>
      </c>
      <c r="K191" t="str">
        <f t="shared" si="5"/>
        <v>Adult</v>
      </c>
    </row>
    <row r="192" spans="1:11" x14ac:dyDescent="0.3">
      <c r="A192" t="s">
        <v>217</v>
      </c>
      <c r="B192" t="s">
        <v>25</v>
      </c>
      <c r="C192" t="s">
        <v>41</v>
      </c>
      <c r="D192" t="s">
        <v>32</v>
      </c>
      <c r="E192" t="s">
        <v>29</v>
      </c>
      <c r="F192">
        <v>52</v>
      </c>
      <c r="G192">
        <v>69945.08</v>
      </c>
      <c r="H192">
        <v>8</v>
      </c>
      <c r="I192">
        <v>80</v>
      </c>
      <c r="J192" t="str">
        <f>IF(Table1[[#This Row],[Treatment Cost]]&gt;75000, "High Cost", "Low Cost")</f>
        <v>Low Cost</v>
      </c>
      <c r="K192" t="str">
        <f t="shared" si="5"/>
        <v>Senior</v>
      </c>
    </row>
    <row r="193" spans="1:11" x14ac:dyDescent="0.3">
      <c r="A193" t="s">
        <v>218</v>
      </c>
      <c r="B193" t="s">
        <v>22</v>
      </c>
      <c r="C193" t="s">
        <v>16</v>
      </c>
      <c r="D193" t="s">
        <v>12</v>
      </c>
      <c r="E193" t="s">
        <v>13</v>
      </c>
      <c r="F193">
        <v>62</v>
      </c>
      <c r="G193">
        <v>132120.79</v>
      </c>
      <c r="H193">
        <v>25</v>
      </c>
      <c r="I193">
        <v>81</v>
      </c>
      <c r="J193" t="str">
        <f>IF(Table1[[#This Row],[Treatment Cost]]&gt;75000, "High Cost", "Low Cost")</f>
        <v>High Cost</v>
      </c>
      <c r="K193" t="str">
        <f t="shared" si="5"/>
        <v>Middle-aged</v>
      </c>
    </row>
    <row r="194" spans="1:11" x14ac:dyDescent="0.3">
      <c r="A194" t="s">
        <v>219</v>
      </c>
      <c r="B194" t="s">
        <v>22</v>
      </c>
      <c r="C194" t="s">
        <v>16</v>
      </c>
      <c r="D194" t="s">
        <v>26</v>
      </c>
      <c r="E194" t="s">
        <v>18</v>
      </c>
      <c r="F194">
        <v>22</v>
      </c>
      <c r="G194">
        <v>132726.88</v>
      </c>
      <c r="H194">
        <v>24</v>
      </c>
      <c r="I194">
        <v>54</v>
      </c>
      <c r="J194" t="str">
        <f>IF(Table1[[#This Row],[Treatment Cost]]&gt;75000, "High Cost", "Low Cost")</f>
        <v>High Cost</v>
      </c>
      <c r="K194" t="str">
        <f t="shared" ref="K194:K201" si="6">IF(A193&lt;=5,"Infant / Toddler",
IF(F193&lt;=12,"Child",
IF(F193&lt;=19,"Teenager",
IF(F193&lt;=29,"Young Adult",
IF(F193&lt;=44,"Adult",
IF(F193&lt;=59,"Middle-aged",
IF(F193&lt;=74,"Senior","Elderly")))))))</f>
        <v>Senior</v>
      </c>
    </row>
    <row r="195" spans="1:11" x14ac:dyDescent="0.3">
      <c r="A195" t="s">
        <v>220</v>
      </c>
      <c r="B195" t="s">
        <v>10</v>
      </c>
      <c r="C195" t="s">
        <v>16</v>
      </c>
      <c r="D195" t="s">
        <v>17</v>
      </c>
      <c r="E195" t="s">
        <v>29</v>
      </c>
      <c r="F195">
        <v>70</v>
      </c>
      <c r="G195">
        <v>40806.769999999997</v>
      </c>
      <c r="H195">
        <v>1</v>
      </c>
      <c r="I195">
        <v>51</v>
      </c>
      <c r="J195" t="str">
        <f>IF(Table1[[#This Row],[Treatment Cost]]&gt;75000, "High Cost", "Low Cost")</f>
        <v>Low Cost</v>
      </c>
      <c r="K195" t="str">
        <f t="shared" si="6"/>
        <v>Young Adult</v>
      </c>
    </row>
    <row r="196" spans="1:11" x14ac:dyDescent="0.3">
      <c r="A196" t="s">
        <v>221</v>
      </c>
      <c r="B196" t="s">
        <v>25</v>
      </c>
      <c r="C196" t="s">
        <v>41</v>
      </c>
      <c r="D196" t="s">
        <v>32</v>
      </c>
      <c r="E196" t="s">
        <v>13</v>
      </c>
      <c r="F196">
        <v>33</v>
      </c>
      <c r="G196">
        <v>56926.38</v>
      </c>
      <c r="H196">
        <v>11</v>
      </c>
      <c r="I196">
        <v>81</v>
      </c>
      <c r="J196" t="str">
        <f>IF(Table1[[#This Row],[Treatment Cost]]&gt;75000, "High Cost", "Low Cost")</f>
        <v>Low Cost</v>
      </c>
      <c r="K196" t="str">
        <f t="shared" si="6"/>
        <v>Senior</v>
      </c>
    </row>
    <row r="197" spans="1:11" x14ac:dyDescent="0.3">
      <c r="A197" t="s">
        <v>222</v>
      </c>
      <c r="B197" t="s">
        <v>22</v>
      </c>
      <c r="C197" t="s">
        <v>16</v>
      </c>
      <c r="D197" t="s">
        <v>32</v>
      </c>
      <c r="E197" t="s">
        <v>29</v>
      </c>
      <c r="F197">
        <v>1</v>
      </c>
      <c r="G197">
        <v>87386.12</v>
      </c>
      <c r="H197">
        <v>14</v>
      </c>
      <c r="I197">
        <v>63</v>
      </c>
      <c r="J197" t="str">
        <f>IF(Table1[[#This Row],[Treatment Cost]]&gt;75000, "High Cost", "Low Cost")</f>
        <v>High Cost</v>
      </c>
      <c r="K197" t="str">
        <f t="shared" si="6"/>
        <v>Adult</v>
      </c>
    </row>
    <row r="198" spans="1:11" x14ac:dyDescent="0.3">
      <c r="A198" t="s">
        <v>223</v>
      </c>
      <c r="B198" t="s">
        <v>22</v>
      </c>
      <c r="C198" t="s">
        <v>28</v>
      </c>
      <c r="D198" t="s">
        <v>12</v>
      </c>
      <c r="E198" t="s">
        <v>13</v>
      </c>
      <c r="F198">
        <v>8</v>
      </c>
      <c r="G198">
        <v>7805.22</v>
      </c>
      <c r="H198">
        <v>13</v>
      </c>
      <c r="I198">
        <v>91</v>
      </c>
      <c r="J198" t="str">
        <f>IF(Table1[[#This Row],[Treatment Cost]]&gt;75000, "High Cost", "Low Cost")</f>
        <v>Low Cost</v>
      </c>
      <c r="K198" t="str">
        <f t="shared" si="6"/>
        <v>Child</v>
      </c>
    </row>
    <row r="199" spans="1:11" x14ac:dyDescent="0.3">
      <c r="A199" t="s">
        <v>224</v>
      </c>
      <c r="B199" t="s">
        <v>22</v>
      </c>
      <c r="C199" t="s">
        <v>11</v>
      </c>
      <c r="D199" t="s">
        <v>17</v>
      </c>
      <c r="E199" t="s">
        <v>18</v>
      </c>
      <c r="F199">
        <v>90</v>
      </c>
      <c r="G199">
        <v>64936.83</v>
      </c>
      <c r="H199">
        <v>23</v>
      </c>
      <c r="I199">
        <v>51</v>
      </c>
      <c r="J199" t="str">
        <f>IF(Table1[[#This Row],[Treatment Cost]]&gt;75000, "High Cost", "Low Cost")</f>
        <v>Low Cost</v>
      </c>
      <c r="K199" t="str">
        <f t="shared" si="6"/>
        <v>Child</v>
      </c>
    </row>
    <row r="200" spans="1:11" x14ac:dyDescent="0.3">
      <c r="A200" t="s">
        <v>225</v>
      </c>
      <c r="B200" t="s">
        <v>36</v>
      </c>
      <c r="C200" t="s">
        <v>41</v>
      </c>
      <c r="D200" t="s">
        <v>32</v>
      </c>
      <c r="E200" t="s">
        <v>13</v>
      </c>
      <c r="F200">
        <v>21</v>
      </c>
      <c r="G200">
        <v>57025.03</v>
      </c>
      <c r="H200">
        <v>18</v>
      </c>
      <c r="I200">
        <v>50</v>
      </c>
      <c r="J200" t="str">
        <f>IF(Table1[[#This Row],[Treatment Cost]]&gt;75000, "High Cost", "Low Cost")</f>
        <v>Low Cost</v>
      </c>
      <c r="K200" t="str">
        <f t="shared" si="6"/>
        <v>Elderly</v>
      </c>
    </row>
    <row r="201" spans="1:11" x14ac:dyDescent="0.3">
      <c r="A201" t="s">
        <v>226</v>
      </c>
      <c r="B201" t="s">
        <v>36</v>
      </c>
      <c r="C201" t="s">
        <v>41</v>
      </c>
      <c r="D201" t="s">
        <v>23</v>
      </c>
      <c r="E201" t="s">
        <v>13</v>
      </c>
      <c r="F201">
        <v>39</v>
      </c>
      <c r="G201">
        <v>145631.91</v>
      </c>
      <c r="H201">
        <v>6</v>
      </c>
      <c r="I201">
        <v>49</v>
      </c>
      <c r="J201" t="str">
        <f>IF(Table1[[#This Row],[Treatment Cost]]&gt;75000, "High Cost", "Low Cost")</f>
        <v>High Cost</v>
      </c>
      <c r="K201" t="str">
        <f t="shared" si="6"/>
        <v>Young Adult</v>
      </c>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76349-CA97-462F-BAC3-6C7913BBE070}">
  <dimension ref="A1:K28"/>
  <sheetViews>
    <sheetView zoomScale="41" zoomScaleNormal="50" workbookViewId="0">
      <selection activeCell="AC29" sqref="AC29"/>
    </sheetView>
  </sheetViews>
  <sheetFormatPr defaultRowHeight="14.4" x14ac:dyDescent="0.3"/>
  <cols>
    <col min="1" max="2" width="21.77734375" bestFit="1" customWidth="1"/>
    <col min="3" max="3" width="31.5546875" bestFit="1" customWidth="1"/>
    <col min="4" max="4" width="19.6640625" customWidth="1"/>
    <col min="5" max="5" width="23.109375" bestFit="1" customWidth="1"/>
    <col min="6" max="6" width="26.88671875" bestFit="1" customWidth="1"/>
    <col min="7" max="7" width="31.5546875" bestFit="1" customWidth="1"/>
    <col min="9" max="9" width="21.77734375" bestFit="1" customWidth="1"/>
    <col min="10" max="10" width="37" bestFit="1" customWidth="1"/>
    <col min="11" max="11" width="32.88671875" bestFit="1" customWidth="1"/>
  </cols>
  <sheetData>
    <row r="1" spans="1:11" x14ac:dyDescent="0.3">
      <c r="A1" t="s">
        <v>248</v>
      </c>
    </row>
    <row r="2" spans="1:11" x14ac:dyDescent="0.3">
      <c r="A2" s="3"/>
    </row>
    <row r="3" spans="1:11" x14ac:dyDescent="0.3">
      <c r="E3" s="4" t="s">
        <v>234</v>
      </c>
      <c r="F3" t="s">
        <v>229</v>
      </c>
      <c r="I3" s="4" t="s">
        <v>4</v>
      </c>
      <c r="J3" t="s">
        <v>229</v>
      </c>
    </row>
    <row r="4" spans="1:11" x14ac:dyDescent="0.3">
      <c r="A4" t="s">
        <v>230</v>
      </c>
      <c r="E4" s="5" t="s">
        <v>26</v>
      </c>
      <c r="F4" s="3">
        <v>1128</v>
      </c>
      <c r="I4" s="5" t="s">
        <v>18</v>
      </c>
      <c r="J4" s="3">
        <v>5855</v>
      </c>
    </row>
    <row r="5" spans="1:11" x14ac:dyDescent="0.3">
      <c r="A5" s="6">
        <v>74899.96641975308</v>
      </c>
      <c r="E5" s="5" t="s">
        <v>12</v>
      </c>
      <c r="F5" s="3">
        <v>1250</v>
      </c>
      <c r="I5" s="5" t="s">
        <v>228</v>
      </c>
      <c r="J5" s="3">
        <v>5855</v>
      </c>
    </row>
    <row r="6" spans="1:11" x14ac:dyDescent="0.3">
      <c r="E6" s="5" t="s">
        <v>17</v>
      </c>
      <c r="F6" s="3">
        <v>1437</v>
      </c>
    </row>
    <row r="7" spans="1:11" x14ac:dyDescent="0.3">
      <c r="A7" t="s">
        <v>231</v>
      </c>
      <c r="E7" s="5" t="s">
        <v>32</v>
      </c>
      <c r="F7" s="3">
        <v>715</v>
      </c>
    </row>
    <row r="8" spans="1:11" x14ac:dyDescent="0.3">
      <c r="A8" s="3">
        <v>17.061728395061728</v>
      </c>
      <c r="E8" s="5" t="s">
        <v>23</v>
      </c>
      <c r="F8" s="3">
        <v>1325</v>
      </c>
    </row>
    <row r="9" spans="1:11" x14ac:dyDescent="0.3">
      <c r="E9" s="5" t="s">
        <v>228</v>
      </c>
      <c r="F9" s="3">
        <v>5855</v>
      </c>
    </row>
    <row r="10" spans="1:11" x14ac:dyDescent="0.3">
      <c r="A10" t="s">
        <v>232</v>
      </c>
    </row>
    <row r="11" spans="1:11" x14ac:dyDescent="0.3">
      <c r="A11" s="3">
        <v>72.283950617283949</v>
      </c>
      <c r="I11" s="4" t="s">
        <v>1</v>
      </c>
      <c r="J11" t="s">
        <v>232</v>
      </c>
      <c r="K11" t="s">
        <v>247</v>
      </c>
    </row>
    <row r="12" spans="1:11" x14ac:dyDescent="0.3">
      <c r="F12" s="4" t="s">
        <v>2</v>
      </c>
      <c r="G12" t="s">
        <v>229</v>
      </c>
      <c r="I12" s="5" t="s">
        <v>25</v>
      </c>
      <c r="J12" s="3">
        <v>83.375</v>
      </c>
      <c r="K12" s="3">
        <v>55</v>
      </c>
    </row>
    <row r="13" spans="1:11" x14ac:dyDescent="0.3">
      <c r="A13" t="s">
        <v>233</v>
      </c>
      <c r="F13" s="5" t="s">
        <v>16</v>
      </c>
      <c r="G13" s="3">
        <v>1438</v>
      </c>
      <c r="I13" s="5" t="s">
        <v>10</v>
      </c>
      <c r="J13" s="6">
        <v>74.19047619047619</v>
      </c>
      <c r="K13" s="6">
        <v>42</v>
      </c>
    </row>
    <row r="14" spans="1:11" x14ac:dyDescent="0.3">
      <c r="A14" s="3">
        <v>40.938271604938272</v>
      </c>
      <c r="F14" s="5" t="s">
        <v>28</v>
      </c>
      <c r="G14" s="3">
        <v>1407</v>
      </c>
      <c r="I14" s="5" t="s">
        <v>31</v>
      </c>
      <c r="J14" s="6">
        <v>70.666666666666671</v>
      </c>
      <c r="K14" s="6">
        <v>47</v>
      </c>
    </row>
    <row r="15" spans="1:11" x14ac:dyDescent="0.3">
      <c r="F15" s="5" t="s">
        <v>41</v>
      </c>
      <c r="G15" s="3">
        <v>1429</v>
      </c>
      <c r="I15" s="5" t="s">
        <v>36</v>
      </c>
      <c r="J15" s="6">
        <v>75.5</v>
      </c>
      <c r="K15" s="6">
        <v>42</v>
      </c>
    </row>
    <row r="16" spans="1:11" x14ac:dyDescent="0.3">
      <c r="F16" s="5" t="s">
        <v>11</v>
      </c>
      <c r="G16" s="3">
        <v>1581</v>
      </c>
      <c r="I16" s="5" t="s">
        <v>22</v>
      </c>
      <c r="J16" s="6">
        <v>65.214285714285708</v>
      </c>
      <c r="K16" s="6">
        <v>45</v>
      </c>
    </row>
    <row r="17" spans="2:11" x14ac:dyDescent="0.3">
      <c r="F17" s="5" t="s">
        <v>228</v>
      </c>
      <c r="G17" s="3">
        <v>5855</v>
      </c>
      <c r="I17" s="5" t="s">
        <v>15</v>
      </c>
      <c r="J17" s="6">
        <v>69.349999999999994</v>
      </c>
      <c r="K17" s="6">
        <v>42</v>
      </c>
    </row>
    <row r="18" spans="2:11" x14ac:dyDescent="0.3">
      <c r="I18" s="5" t="s">
        <v>228</v>
      </c>
      <c r="J18" s="3">
        <v>72.283950617283949</v>
      </c>
      <c r="K18" s="3">
        <v>42</v>
      </c>
    </row>
    <row r="20" spans="2:11" x14ac:dyDescent="0.3">
      <c r="B20" s="4" t="s">
        <v>227</v>
      </c>
      <c r="C20" t="s">
        <v>229</v>
      </c>
      <c r="E20" s="4" t="s">
        <v>235</v>
      </c>
      <c r="F20" t="s">
        <v>229</v>
      </c>
    </row>
    <row r="21" spans="2:11" x14ac:dyDescent="0.3">
      <c r="B21" s="5" t="s">
        <v>242</v>
      </c>
      <c r="C21" s="3">
        <v>2743</v>
      </c>
      <c r="E21" s="5" t="s">
        <v>244</v>
      </c>
      <c r="F21" s="3">
        <v>1033</v>
      </c>
    </row>
    <row r="22" spans="2:11" x14ac:dyDescent="0.3">
      <c r="B22" s="5" t="s">
        <v>238</v>
      </c>
      <c r="C22" s="3">
        <v>3112</v>
      </c>
      <c r="E22" s="5" t="s">
        <v>240</v>
      </c>
      <c r="F22" s="3">
        <v>1020</v>
      </c>
    </row>
    <row r="23" spans="2:11" x14ac:dyDescent="0.3">
      <c r="B23" s="5" t="s">
        <v>228</v>
      </c>
      <c r="C23" s="3">
        <v>5855</v>
      </c>
      <c r="E23" s="5" t="s">
        <v>239</v>
      </c>
      <c r="F23" s="3">
        <v>1016</v>
      </c>
    </row>
    <row r="24" spans="2:11" x14ac:dyDescent="0.3">
      <c r="E24" s="5" t="s">
        <v>241</v>
      </c>
      <c r="F24" s="3">
        <v>976</v>
      </c>
    </row>
    <row r="25" spans="2:11" x14ac:dyDescent="0.3">
      <c r="E25" s="5" t="s">
        <v>245</v>
      </c>
      <c r="F25" s="3">
        <v>915</v>
      </c>
    </row>
    <row r="26" spans="2:11" x14ac:dyDescent="0.3">
      <c r="E26" s="5" t="s">
        <v>246</v>
      </c>
      <c r="F26" s="3">
        <v>426</v>
      </c>
    </row>
    <row r="27" spans="2:11" x14ac:dyDescent="0.3">
      <c r="E27" s="5" t="s">
        <v>243</v>
      </c>
      <c r="F27" s="3">
        <v>469</v>
      </c>
    </row>
    <row r="28" spans="2:11" x14ac:dyDescent="0.3">
      <c r="E28" s="5" t="s">
        <v>228</v>
      </c>
      <c r="F28" s="3">
        <v>5855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849E-A991-4DAD-A2A0-65AED124B0F0}">
  <dimension ref="A1"/>
  <sheetViews>
    <sheetView tabSelected="1" topLeftCell="A7" zoomScale="44" zoomScaleNormal="94" workbookViewId="0">
      <selection activeCell="AC29" sqref="AC29"/>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4CAE1B-8CB3-47E1-B7ED-74956EEFE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hospital_patient_treatment_data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 Kavitake</cp:lastModifiedBy>
  <cp:lastPrinted>2026-01-04T15:42:02Z</cp:lastPrinted>
  <dcterms:created xsi:type="dcterms:W3CDTF">2026-01-04T15:44:19Z</dcterms:created>
  <dcterms:modified xsi:type="dcterms:W3CDTF">2026-01-05T06:08:20Z</dcterms:modified>
</cp:coreProperties>
</file>